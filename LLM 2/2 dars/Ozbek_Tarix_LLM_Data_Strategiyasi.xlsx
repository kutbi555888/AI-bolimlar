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showInkAnnotation="0" autoCompressPictures="0"/>
  <xr:revisionPtr revIDLastSave="0" documentId="8_{7A88AE5B-1C0F-43C1-AE47-709058593A7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 Model va manbalar" sheetId="1" r:id="rId1"/>
    <sheet name="2 Tekshiruvlar" sheetId="2" r:id="rId2"/>
    <sheet name="3 Mixture va qaror" sheetId="3" r:id="rId3"/>
    <sheet name="4 Dalillar va havolalar" sheetId="4" r:id="rId4"/>
    <sheet name="5 Tekshirish ish rejasi" sheetId="5" r:id="rId5"/>
    <sheet name="6 Tarix baholash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F15" i="3" s="1"/>
  <c r="A15" i="3"/>
  <c r="E14" i="3"/>
  <c r="F14" i="3" s="1"/>
  <c r="A14" i="3"/>
  <c r="E13" i="3"/>
  <c r="F13" i="3" s="1"/>
  <c r="A13" i="3"/>
  <c r="E12" i="3"/>
  <c r="F12" i="3" s="1"/>
  <c r="A12" i="3"/>
  <c r="E11" i="3"/>
  <c r="F11" i="3" s="1"/>
  <c r="A11" i="3"/>
  <c r="G7" i="3"/>
</calcChain>
</file>

<file path=xl/sharedStrings.xml><?xml version="1.0" encoding="utf-8"?>
<sst xmlns="http://schemas.openxmlformats.org/spreadsheetml/2006/main" count="643" uniqueCount="454">
  <si>
    <t>O‘ZBEKCHA TARIX LLM — MA’LUMOTLAR STRATEGIYASI (TADQIQOTGA ASOSLANGAN NAMUNA)</t>
  </si>
  <si>
    <t>Bu — manbalar bo‘yicha tadqiqot va reja; real korpus hali yuklab/tozalanmagan. “Tekshirilsin” — ataylab aniq qo‘yilgan holat.</t>
  </si>
  <si>
    <t>1. LLM YO‘NALISHINI TANLANG</t>
  </si>
  <si>
    <t>Model yo‘nalishi:</t>
  </si>
  <si>
    <t>Model nomi:</t>
  </si>
  <si>
    <t>Tarixga ixtisoslashgan, o‘zbek tilidagi ta’limiy LLM</t>
  </si>
  <si>
    <t>TarixBilim-UZ (ishchi nom)</t>
  </si>
  <si>
    <t>Asosiy maqsad:</t>
  </si>
  <si>
    <t>O‘zbekiston va jahon tarixini o‘zbekcha tushuntirish; sanalar, voqealar, shaxslar, manba keltirish; noaniqlikni tan olish.</t>
  </si>
  <si>
    <t>Maqsadli foydalanuvchi:</t>
  </si>
  <si>
    <t>O‘zbek tilidagi o‘quvchilar, talabalar, o‘qituvchilar; lotin/kirill yozuvi. Avvalgi bilimlarni RAG orqali hujjatlar bilan tekshirish.</t>
  </si>
  <si>
    <t>2. KAMIDA 3 TA, KO‘PI BILAN 5 TA MA’LUMOT MANBASINI YOZING</t>
  </si>
  <si>
    <t>ID</t>
  </si>
  <si>
    <t>Dataset nomi</t>
  </si>
  <si>
    <t>Yo‘nalish</t>
  </si>
  <si>
    <t>Platforma</t>
  </si>
  <si>
    <t>Asl URL / manba</t>
  </si>
  <si>
    <t>Nega kerak?</t>
  </si>
  <si>
    <t>Til(lar)</t>
  </si>
  <si>
    <t>Noyob token</t>
  </si>
  <si>
    <t>Manba holati</t>
  </si>
  <si>
    <t>Izoh</t>
  </si>
  <si>
    <t>A</t>
  </si>
  <si>
    <t>O‘zbekcha Vikipediya (uzwiki)</t>
  </si>
  <si>
    <t>O‘zbekiston/jahon tarixi maqolalari</t>
  </si>
  <si>
    <t>Wikimedia dumps</t>
  </si>
  <si>
    <t>https://dumps.wikimedia.org/uzwiki/latest/</t>
  </si>
  <si>
    <t>Asosiy o‘zbekcha tarixiy izohlar; referenslar va mavzular.</t>
  </si>
  <si>
    <t>O‘zbek (lotin/kirill)</t>
  </si>
  <si>
    <t>O‘lchanmagan</t>
  </si>
  <si>
    <t>Rasmiy manba; hali yuklanmagan</t>
  </si>
  <si>
    <t>2026-10-01 dump indeksi ko‘rildi; mavzu bo‘yicha saralash, mualliflik va sifati tekshiriladi.</t>
  </si>
  <si>
    <t>B</t>
  </si>
  <si>
    <t>Inglizcha Vikipediya (enwiki)</t>
  </si>
  <si>
    <t>Qo‘shimcha jahon tarixi (tarjima)</t>
  </si>
  <si>
    <t>https://dumps.wikimedia.org/enwiki/latest/</t>
  </si>
  <si>
    <t>O‘zbekchada kam yoritilgan voqealar; tarjima + tarixiy fakt tekshiruvi.</t>
  </si>
  <si>
    <t>Ingliz; o‘zbekchaga tarjima zarur</t>
  </si>
  <si>
    <t>Rasmiy manba; tarjima yo‘q</t>
  </si>
  <si>
    <t>2026-10-08 dump; asl maqola URL/rev ID va tarjima tahririni saqlash.</t>
  </si>
  <si>
    <t>C</t>
  </si>
  <si>
    <t>Vikimanba: O‘zbek to‘plami</t>
  </si>
  <si>
    <t>Tarixiy manbalar, jadid matnlari</t>
  </si>
  <si>
    <t>Multilingual Wikisource</t>
  </si>
  <si>
    <t>https://wikisource.org/wiki/Category:O%E2%80%98zbek</t>
  </si>
  <si>
    <t>Birlamchi manbalar, tarixiy til va voqealarga turli nigohlar.</t>
  </si>
  <si>
    <t>O‘zbek, eski yozuv shakllari</t>
  </si>
  <si>
    <t>ASARMA-ASAR huquqiy tekshiruv</t>
  </si>
  <si>
    <t>O‘zbek sahifalari mavjud; har bir asar, tarjima va skan litsenziyasi boshqacha bo‘lishi mumkin.</t>
  </si>
  <si>
    <t>D</t>
  </si>
  <si>
    <t>Wikidata: tarixiy faktlar</t>
  </si>
  <si>
    <t>Shaxs, sana, joy, voqea (tuzilmali)</t>
  </si>
  <si>
    <t>Wikidata / JSON / SPARQL</t>
  </si>
  <si>
    <t>https://www.wikidata.org/wiki/Wikidata:Data_access</t>
  </si>
  <si>
    <t>Vaqt chizig‘i va fakt tekshirish; QID+manba bilan o‘zbekcha qisqa QA yaratish.</t>
  </si>
  <si>
    <t>Qisman uz label; boshqa til ham bor</t>
  </si>
  <si>
    <t>CC0 ma’lumot; tozalash zarur</t>
  </si>
  <si>
    <t>Faqat strukturalangan main/Property/Lexeme/EntitySchema ma’lumoti CC0; boshqa wiki matni emas.</t>
  </si>
  <si>
    <t>E</t>
  </si>
  <si>
    <t>Common Crawl: uz tarix veb-sahifalar</t>
  </si>
  <si>
    <t>Qo‘shimcha o‘zbekcha maqolalar</t>
  </si>
  <si>
    <t>Common Crawl WARC/WET</t>
  </si>
  <si>
    <t>https://www.commoncrawl.org/terms-of-use</t>
  </si>
  <si>
    <t>Kam yoritilgan mahalliy mavzularni topish uchun nomzod.</t>
  </si>
  <si>
    <t>Aralash; uz filtri kerak</t>
  </si>
  <si>
    <t>HUQUQ NOANIQ → 0%</t>
  </si>
  <si>
    <t>Arxivdagi saytlar huquqi alohida; hozir trainingga kiritilmaydi.</t>
  </si>
  <si>
    <t>MUHIM: A–E qidirib topilgan real manbalar. 5 tasi ham training uchun tasdiqlandi degani emas; huquq va sifatdan o‘tmagan qismi ishlatilmaydi.</t>
  </si>
  <si>
    <t>Tarix uchun qo‘shimcha tavsiya: pre-training (maqolalar, ruxsatli asarlar) va SFT (tarixchi tekshirgan savol-javob) ni alohida datasetlarda olib boring.</t>
  </si>
  <si>
    <t>To‘g‘ri tarixiy faktlar uchun ixtisoslashgan RAG — manbaga murojaat qilib javob berish — juda foydali: bu fine-tuning o‘rnini doim to‘liq bosa olmaydi.</t>
  </si>
  <si>
    <t>3–5-QADAM — SIFAT, LITSENZIYA VA KELIB CHIQISH</t>
  </si>
  <si>
    <t>Belgilash: Mos / Mos emas / Tekshirilsin. Huquqiy shartlarda: Ruxsat / Taqiqlangan / Noaniq.</t>
  </si>
  <si>
    <t>3. MA’LUMOT SIFATI (QUALITY CHECKLIST)</t>
  </si>
  <si>
    <t>Dataset</t>
  </si>
  <si>
    <t>Maqsadga mos</t>
  </si>
  <si>
    <t>Matn sifati</t>
  </si>
  <si>
    <t>Til mosligi</t>
  </si>
  <si>
    <t>Dublikat</t>
  </si>
  <si>
    <t>Xilma-xillik</t>
  </si>
  <si>
    <t>PII / xavfsizlik</t>
  </si>
  <si>
    <t>Format</t>
  </si>
  <si>
    <t>Manba ishonchi</t>
  </si>
  <si>
    <t>Izoh / dalil</t>
  </si>
  <si>
    <t>A — uzwiki</t>
  </si>
  <si>
    <t>Mos</t>
  </si>
  <si>
    <t>Tekshirilsin</t>
  </si>
  <si>
    <t>Tarixiy maqola saralanadi; manba/sana, xatolar, dublikat, PII real auditdan o‘tmagan.</t>
  </si>
  <si>
    <t>B — enwiki</t>
  </si>
  <si>
    <t>Mos emas</t>
  </si>
  <si>
    <t>Tarix manbasi mos; tarjimasiz o‘zbekcha korpusga mos emas; tarjima QA talab.</t>
  </si>
  <si>
    <t>C — Vikimanba</t>
  </si>
  <si>
    <t>Birlamchi matnlar: eski imlo/OCR; har bir asar uchun mazmun va huquq tekshiriladi.</t>
  </si>
  <si>
    <t>D — Wikidata</t>
  </si>
  <si>
    <t>Bu izchil nasriy matn emas; QID, reference, rank, kvalifikator va sanani tekshirish kerak.</t>
  </si>
  <si>
    <t>E — Common Crawl</t>
  </si>
  <si>
    <t>Saytma-sayt tekshiruvsiz trainingga kiritilmaydi; shovqin, reklama va huquq noaniq.</t>
  </si>
  <si>
    <t>4. LITSENZIYA (LICENSE CHECK — MUHIM!)</t>
  </si>
  <si>
    <t>Litsenziya nomi</t>
  </si>
  <si>
    <t>Tijoriy ishlatish</t>
  </si>
  <si>
    <t>O‘zgartirish</t>
  </si>
  <si>
    <t>Qayta tarqatish</t>
  </si>
  <si>
    <t>Muallifni ko‘rsatish</t>
  </si>
  <si>
    <t>ShareAlike</t>
  </si>
  <si>
    <t>NonCommercial</t>
  </si>
  <si>
    <t>NoDerivatives</t>
  </si>
  <si>
    <t>Asl license URL / izoh</t>
  </si>
  <si>
    <t>CC BY-SA 4.0 / GFDL (odatda)</t>
  </si>
  <si>
    <t>Ruxsat</t>
  </si>
  <si>
    <t>Talab</t>
  </si>
  <si>
    <t>Talab (adaptatsiyada)</t>
  </si>
  <si>
    <t>Yo‘q</t>
  </si>
  <si>
    <t>https://foundation.wikimedia.org/wiki/Policy:Terms_of_Use | Matn/uchinchi tomon media alohida tekshirilsin.</t>
  </si>
  <si>
    <t>Talab (tarjimada)</t>
  </si>
  <si>
    <t>https://foundation.wikimedia.org/wiki/Policy:Terms_of_Use | Tarjima — adaptatsiya; asl mualliflar va o‘zgarishni qayd etish.</t>
  </si>
  <si>
    <t>Asarga qarab: PD yoki CC BY-SA</t>
  </si>
  <si>
    <t>Noaniq</t>
  </si>
  <si>
    <t>Asarga qarab</t>
  </si>
  <si>
    <t>https://wikisource.org/wiki/Help:Copyright | Original va tarjima har biri bo‘yicha litsenziya dalili.</t>
  </si>
  <si>
    <t>CC0 (strukturali ma’lumot)</t>
  </si>
  <si>
    <t>Majburiy emas</t>
  </si>
  <si>
    <t>https://www.wikidata.org/wiki/Wikidata:Licensing | CC0 faqat strukturali data; faktlarni tekshirish baribir zarur.</t>
  </si>
  <si>
    <t>Bitta universal litsenziya yo‘q</t>
  </si>
  <si>
    <t>https://www.commoncrawl.org/terms-of-use | Veb-sahifa egasining alohida shartlari amal qiladi.</t>
  </si>
  <si>
    <t>5. DATA PROVENANCE — ASL MANBA QAYERDA?</t>
  </si>
  <si>
    <t>Dataset yaratuvchisi</t>
  </si>
  <si>
    <t>Olingan joy</t>
  </si>
  <si>
    <t>Asl URL</t>
  </si>
  <si>
    <t>Original sayt</t>
  </si>
  <si>
    <t>Yig‘ilgan sana</t>
  </si>
  <si>
    <t>Versiya / crawl</t>
  </si>
  <si>
    <t>Hash / manifest</t>
  </si>
  <si>
    <t>Preprocessing tarixi</t>
  </si>
  <si>
    <t>Asl manba tasdiqimi?</t>
  </si>
  <si>
    <t>Wikimedia hamjamiyati</t>
  </si>
  <si>
    <t>Wikimedia dump katalogi</t>
  </si>
  <si>
    <t>uz.wikipedia.org</t>
  </si>
  <si>
    <t>Yuklab olinmagan; veb-tekshiruv 20.10.2026</t>
  </si>
  <si>
    <t>2026-10-01 (indeksda)</t>
  </si>
  <si>
    <t>Yaratilmagan</t>
  </si>
  <si>
    <t>Reja: XML→tarix tanlash→clean→dedup→ID</t>
  </si>
  <si>
    <t>Rasmiy katalog bor; hujjat izi hali yo‘q</t>
  </si>
  <si>
    <t>en.wikipedia.org</t>
  </si>
  <si>
    <t>2026-10-08 (indeksda)</t>
  </si>
  <si>
    <t>Reja: tarix select→tarjima→qo‘lda QA→dedup</t>
  </si>
  <si>
    <t>Rasmiy katalog bor; tarjima izi yo‘q</t>
  </si>
  <si>
    <t>Wikimanba hamjamiyati + asar muallifi</t>
  </si>
  <si>
    <t>wikisource.org</t>
  </si>
  <si>
    <t>Har asar rev ID hali yo‘q</t>
  </si>
  <si>
    <t>Reja: sahifa→asar huquqi→imlo/OCR QA</t>
  </si>
  <si>
    <t>O‘zbek bo‘limi tasdiq; asarlar to‘liq emas</t>
  </si>
  <si>
    <t>Wikidata hamjamiyati</t>
  </si>
  <si>
    <t>Wikidata Query/dump</t>
  </si>
  <si>
    <t>https://dumps.wikimedia.org/wikidatawiki/entities/</t>
  </si>
  <si>
    <t>wikidata.org</t>
  </si>
  <si>
    <t>2026-10-13 JSON dump misoli</t>
  </si>
  <si>
    <t>Reja: QID→tarix fakt→referens→QA yozuv</t>
  </si>
  <si>
    <t>Rasmiy katalog bor; QIDlar tanlanmagan</t>
  </si>
  <si>
    <t>Common Crawl + asl sayt egalari</t>
  </si>
  <si>
    <t>CC WARC/WET arxiv</t>
  </si>
  <si>
    <t>https://www.commoncrawl.org/get-started</t>
  </si>
  <si>
    <t>Har bir asl domen</t>
  </si>
  <si>
    <t>Crawl hali tanlanmagan</t>
  </si>
  <si>
    <t>Reja: WARC→URL/domain huquqi→quality</t>
  </si>
  <si>
    <t>Shaxsiy saytlar huquqi tekshirilmagan</t>
  </si>
  <si>
    <t>QOIDA: “Mos” (manba/tuzilma) ≠ amaliy o‘lchangan sifat. PII, dublikat, noyob token, hash, provenance va tijoriy AI-training huquqi tekshirilmaguncha FINAL APPROVAL YO‘Q.</t>
  </si>
  <si>
    <t>O‘ZBEKCHA TARIX LLM — DATA MIXTURE VA YAKUNIY MUHANDISLIK QARORI</t>
  </si>
  <si>
    <t>Bu foizlar 20 mln tokenlik NAMUNAVIY maqsad; haqiqiy aralashma empirik pilot trainingdan keyin belgilanadi. 0% = hozircha kiritilmaydi.</t>
  </si>
  <si>
    <t>6. TRAINING DATA MIXTURE — KORPUS TARKIBI</t>
  </si>
  <si>
    <t>Rejadagi jami training token:</t>
  </si>
  <si>
    <t>Jami ulush (%):</t>
  </si>
  <si>
    <t>REJA: 100% bo‘lishi kerak; ishga tushirishga ruxsat EMAS</t>
  </si>
  <si>
    <t>Noyob tokenlar</t>
  </si>
  <si>
    <t>Ulush (%)</t>
  </si>
  <si>
    <t>Training tokenlar</t>
  </si>
  <si>
    <t>Effective epoch</t>
  </si>
  <si>
    <t>Nega aynan shu ulush?</t>
  </si>
  <si>
    <t>Tekshirish holati</t>
  </si>
  <si>
    <t>O‘zbekcha tarixiy maqolalar</t>
  </si>
  <si>
    <t>Asosiy o‘zbekcha tarix nasri; 60% — SINOV taxmini.</t>
  </si>
  <si>
    <t>Sifat/PII/huquqiy auditdan keyin</t>
  </si>
  <si>
    <t>Tarjima qilingan jahon tarixi</t>
  </si>
  <si>
    <t>O‘zbekchada kam mavzular; faqat tekshirilgan tarjimalar.</t>
  </si>
  <si>
    <t>Tarjima va mualliflik tekshirilsin</t>
  </si>
  <si>
    <t>Tarixiy birlamchi manbalar</t>
  </si>
  <si>
    <t>Asarma-asar huquq tasdiqlanmaguncha 0%.</t>
  </si>
  <si>
    <t>TO‘XTATILGAN</t>
  </si>
  <si>
    <t>Tarix sanalari/faktlar</t>
  </si>
  <si>
    <t>Faktli QA, sana-vaqt izchilligi; templatelarni takrorlamaslik.</t>
  </si>
  <si>
    <t>QID/fakt sifat auditi zarur</t>
  </si>
  <si>
    <t>Huquqi noma’lum web</t>
  </si>
  <si>
    <t>Asl sayt huquqi tekshirilmaguncha 0%.</t>
  </si>
  <si>
    <t>Noyob tokenlar HALI HISOBLANMAGAN; C11:C15 bo‘shligi ongli. Shuning uchun Effective Epochs avtomatik ko‘rinmaydi. 20M token — faqat reja, yuklangan data emas.</t>
  </si>
  <si>
    <t>7. YAKUNIY QAROR (ENGINEERING JUDGMENT)</t>
  </si>
  <si>
    <t>Qaror</t>
  </si>
  <si>
    <t>Sabab</t>
  </si>
  <si>
    <t>Litsenziya dalili</t>
  </si>
  <si>
    <t>Sifat dalili</t>
  </si>
  <si>
    <t>Nima tekshiriladi?</t>
  </si>
  <si>
    <t>Mas’ul / sana</t>
  </si>
  <si>
    <t>QO‘SHIMCHA TEKSHIRUV</t>
  </si>
  <si>
    <t>Eng yaxshi o‘zbekcha asos; maqola xatolari/mavzu filtri/PII hali tekshirilmagan.</t>
  </si>
  <si>
    <t>Wikimedia CC BY-SA 4.0 (shartli)</t>
  </si>
  <si>
    <t>Tanlangan maqola sifat auditi yo‘q</t>
  </si>
  <si>
    <t>Manba/bekor qilingan sahifa/rev/dedup, benchmark</t>
  </si>
  <si>
    <t>Loyiha egasi — reja</t>
  </si>
  <si>
    <t>Birinchi bo‘lib pilot korpus yaratilsin.</t>
  </si>
  <si>
    <t>Tarjima yo‘q; asl maqola mualliflik shartlari saqlanishi kerak.</t>
  </si>
  <si>
    <t>Tarjima xatolari o‘lchanmagan</t>
  </si>
  <si>
    <t>Tarjima sifatini tarixchi ko‘rsin; attribution</t>
  </si>
  <si>
    <t>Tarjima fakt, sana va atamalarni buzmasin.</t>
  </si>
  <si>
    <t>Asar, tarjima va skanlar huquqi har xil; 0%.</t>
  </si>
  <si>
    <t>Har asar bo‘yicha PD / CC BY-SA</t>
  </si>
  <si>
    <t>OCR/eski imlo nazorat qilinmagan</t>
  </si>
  <si>
    <t>Har asar license, muallif vafoti, skan huquqi</t>
  </si>
  <si>
    <t>Huquqi aniq bo‘lgan asarlardan boshlab keyin ulush ajratilsin.</t>
  </si>
  <si>
    <t>CC0 strukturali ma’lumot mos; factual QA pipeline hali yo‘q.</t>
  </si>
  <si>
    <t>Wikidata CC0 (strukturali)</t>
  </si>
  <si>
    <t>Fakt ishonchliligi QID bo‘yicha noma’lum</t>
  </si>
  <si>
    <t>QID, sana aniqligi, manba va entity ajratish</t>
  </si>
  <si>
    <t>Reference bilan fact QA; badiiy nasr o‘rniga o‘tmaydi.</t>
  </si>
  <si>
    <t>FOYDALANMASLIK</t>
  </si>
  <si>
    <t>Hozircha alohida sayt huquqi tasdiqlanmagan.</t>
  </si>
  <si>
    <t>Common Crawl ToU → original sayt shartlari</t>
  </si>
  <si>
    <t>Quality/PII/til aniqlanmagan</t>
  </si>
  <si>
    <t>Asl domen URL/terms/ruxsat; faqat keyin qayta qaror</t>
  </si>
  <si>
    <t>0%; umumiy ruxsat bor deb o‘ylamang.</t>
  </si>
  <si>
    <t>YAKUNIY: HOZIRCHA REAL TRAINING BOSHLANMAYDI — yuklash, huquqiy dalil, PII/dedup, tarixiy fakt tekshiruvi, noyob tokenlar va sinov baholashi yetishmaydi.</t>
  </si>
  <si>
    <t>RASMIY MANBALAR — TEKSHIRILADIGAN DALILLAR (20.10.2026)</t>
  </si>
  <si>
    <t>Qaysi manba?</t>
  </si>
  <si>
    <t>Tekshirilgan fakt</t>
  </si>
  <si>
    <t>Rasmiy / manba havolasi</t>
  </si>
  <si>
    <t>Holat</t>
  </si>
  <si>
    <t>Cheklov / eslatma</t>
  </si>
  <si>
    <t>Keyingi isbot</t>
  </si>
  <si>
    <t>Kim / qachon?</t>
  </si>
  <si>
    <t>R01</t>
  </si>
  <si>
    <t>Uzbek Wiki XML maqolalar dump katalogi bor; 01.10.2026 fayllari ko‘ringan.</t>
  </si>
  <si>
    <t>Tasdiqlangan</t>
  </si>
  <si>
    <t>“latest” yangilanadi; aniq snapshot path va checksum saqlansin.</t>
  </si>
  <si>
    <t>Tegishli tarix maqolalari va token miqdorini hisoblash.</t>
  </si>
  <si>
    <t>20.10.2026 veb</t>
  </si>
  <si>
    <t>R02</t>
  </si>
  <si>
    <t>A/B — Wikipedia</t>
  </si>
  <si>
    <t>Wikimedia matni ko‘pincha CC BY-SA 4.0 yoki GFDL; attribution, adaptatsiya shartlari bor.</t>
  </si>
  <si>
    <t>https://foundation.wikimedia.org/wiki/Policy:Terms_of_Use</t>
  </si>
  <si>
    <t>Media, maxsus matn va foydalanuvchi kiritgan kontent istisnolari bor.</t>
  </si>
  <si>
    <t>Attribution reja / model-releasening huquqiy sharhi.</t>
  </si>
  <si>
    <t>R03</t>
  </si>
  <si>
    <t>A/B — CC BY-SA</t>
  </si>
  <si>
    <t>Tijoriy nusxa/adaptatsiyaga ruxsat, ammo attribution + ShareAlike shartlari mavjud.</t>
  </si>
  <si>
    <t>https://foundation.wikimedia.org/wiki/Legal:Text_of_the_Creative_Commons_Attribution-ShareAlike_4.0_International_License/en</t>
  </si>
  <si>
    <t>Training checkpointlarining hosila asar maqomi noaniq; alohida huquqiy xulosa.</t>
  </si>
  <si>
    <t>Qayta tarqatiladigan tarjimalarga CC BY-SA mosligini tekshirish.</t>
  </si>
  <si>
    <t>R04</t>
  </si>
  <si>
    <t>English Wikipedia dump katalogida 08.10.2026 fayllari ko‘ringan.</t>
  </si>
  <si>
    <t>Faqat tarix maqolalari ajratiladi; to‘liq English wiki yuklash shart emas.</t>
  </si>
  <si>
    <t>Translation QA, source/revision mapping.</t>
  </si>
  <si>
    <t>R05</t>
  </si>
  <si>
    <t>Multilingual Wikisource’da O‘zbek kategoriyasi va tarixiy manbalar mavjud.</t>
  </si>
  <si>
    <t>Barcha sahifalar tarixiy emas, avtor huquqi alohida.</t>
  </si>
  <si>
    <t>Tanlangan asarlar ro‘yxati, license har biri uchun.</t>
  </si>
  <si>
    <t>R06</t>
  </si>
  <si>
    <t>Wikisource asarlarida public-domain va CC BY-SA, tarjimalarda qo‘shimcha huquq shartlari.</t>
  </si>
  <si>
    <t>https://wikisource.org/wiki/Help:Copyright</t>
  </si>
  <si>
    <t>Litsenziya asarma-asar tasdiqlanishi lozim.</t>
  </si>
  <si>
    <t>Muallif, tarjimon, nashr, huquq dalili.</t>
  </si>
  <si>
    <t>R07</t>
  </si>
  <si>
    <t>Asosiy strukturali ma’lumot CC0; boshqa namespacelardagi matn CC BY-SA bo‘lishi mumkin.</t>
  </si>
  <si>
    <t>https://www.wikidata.org/wiki/Wikidata:Licensing</t>
  </si>
  <si>
    <t>Faktlar avtomatik to‘g‘ri deb olinmaydi.</t>
  </si>
  <si>
    <t>Har bir fakt uchun QID/ref va QA review.</t>
  </si>
  <si>
    <t>R08</t>
  </si>
  <si>
    <t>Wikidata query/REST/dump orqali elementlar olinadi.</t>
  </si>
  <si>
    <t>Juda katta dump o‘rniga topic-restricted query ma’qul.</t>
  </si>
  <si>
    <t>QIDlarni olish, uz labels completeness.</t>
  </si>
  <si>
    <t>R09</t>
  </si>
  <si>
    <t>Entity dump katalogida 13.10.2026 all.json nusxa ko‘ringan.</t>
  </si>
  <si>
    <t>Katalog o‘zgaruvchan, subset va versiya pin qilinsin.</t>
  </si>
  <si>
    <t>Snapshot checksum, sample fact audit.</t>
  </si>
  <si>
    <t>R10</t>
  </si>
  <si>
    <t>Arxivdagi kontent egalarining alohida foydalanish shartlari mavjud bo‘lishi mumkin.</t>
  </si>
  <si>
    <t>O‘zicha tijoriy trening huquqiga dalil emas.</t>
  </si>
  <si>
    <t>Saytma-sayt ruxsat/provenance bilan qayta baho.</t>
  </si>
  <si>
    <t>R11</t>
  </si>
  <si>
    <t>B — tarjima</t>
  </si>
  <si>
    <t>CC BY-SA adaptatsiyalangan matn tarqatishda attribution/change notice/SA shartlari bor.</t>
  </si>
  <si>
    <t>https://creativecommons.org/licenses/by-sa/4.0/</t>
  </si>
  <si>
    <t>Tarjima natijasidagi hosila material huquqini ko‘rish zarur.</t>
  </si>
  <si>
    <t>Tarjimon/translated revision/attribution.</t>
  </si>
  <si>
    <t>R12</t>
  </si>
  <si>
    <t>Umumiy — NOT verified</t>
  </si>
  <si>
    <t>Noyob token, PII, dublikat, sifat benchmarklari bo‘yicha o‘lchov olib borilmadi.</t>
  </si>
  <si>
    <t>— (hali hech qanday fayl yuklab olinmagan)</t>
  </si>
  <si>
    <t>Vebda sahifa mavjudligi dataset sifatini isbotlamaydi.</t>
  </si>
  <si>
    <t>Pipeline + hujjat-level audit talab.</t>
  </si>
  <si>
    <t>20.10.2026 holati</t>
  </si>
  <si>
    <t>O‘ZBEK TARIX LLM — TRAINING BOSHLASHDAN OLDINGI SHARTLAR</t>
  </si>
  <si>
    <t>Quyidagi holatlar — rejaning bugungi holati. Manba topish bilan tekshiruvdan o‘tgan data tayyor bo‘lib qolmaydi.</t>
  </si>
  <si>
    <t>№</t>
  </si>
  <si>
    <t>Vazifa / shart</t>
  </si>
  <si>
    <t>Qabul mezoni</t>
  </si>
  <si>
    <t>Hozirgi holat</t>
  </si>
  <si>
    <t>Nima qilish kerak?</t>
  </si>
  <si>
    <t>Natija fayli / dalil</t>
  </si>
  <si>
    <t>Kim?</t>
  </si>
  <si>
    <t>Maqsad va auditoriya</t>
  </si>
  <si>
    <t>Tarix, o‘zbekcha, tushuntirish, manba ko‘rsatish</t>
  </si>
  <si>
    <t>Reja yozildi</t>
  </si>
  <si>
    <t>O‘zbekiston/jahon tarixi balansini belgilang</t>
  </si>
  <si>
    <t>project_brief.md</t>
  </si>
  <si>
    <t>Loyiha egasi</t>
  </si>
  <si>
    <t>Asl dataset nusxasi</t>
  </si>
  <si>
    <t>Dump rev/time/checksum qayd etilgan</t>
  </si>
  <si>
    <t>BAJARILMAGAN</t>
  </si>
  <si>
    <t>Rasmiy dumpdan mavzuli ma’lumotni yuklang</t>
  </si>
  <si>
    <t>raw_manifest.jsonl</t>
  </si>
  <si>
    <t>Data engineer</t>
  </si>
  <si>
    <t>Huquqiy ruxsat</t>
  </si>
  <si>
    <t>Har asar uchun qayta ishlatish asosi qayd</t>
  </si>
  <si>
    <t>QISMAN</t>
  </si>
  <si>
    <t>Vikipediya matni, Wikisource asari, tarjima huquqini ko‘ring</t>
  </si>
  <si>
    <t>rights_register.csv</t>
  </si>
  <si>
    <t>Huquqiy tekshiruv</t>
  </si>
  <si>
    <t>Tarix bo‘yicha saralash</t>
  </si>
  <si>
    <t>Davr, shaxs, joy, voqea qamrovi o‘lchangan</t>
  </si>
  <si>
    <t>Kategoriya+QID orqali tarixiy maqolalarni tanlang</t>
  </si>
  <si>
    <t>selected_docs.parquet</t>
  </si>
  <si>
    <t>Til aniqlash</t>
  </si>
  <si>
    <t>uz/lotin/kirill aniq, aralash xatolar tekshirilgan</t>
  </si>
  <si>
    <t>Til kodi, script, noto‘g‘ri tanlanganlarni tekshiring</t>
  </si>
  <si>
    <t>language_report.csv</t>
  </si>
  <si>
    <t>NLP engineer</t>
  </si>
  <si>
    <t>HTML/XML extraction</t>
  </si>
  <si>
    <t>Maqola matni menyu/templatedan ajratilgan</t>
  </si>
  <si>
    <t>Wiki XMLni parslash, iqtibos manbalarini saqlash</t>
  </si>
  <si>
    <t>extracted.parquet</t>
  </si>
  <si>
    <t>Sifat filtrlari</t>
  </si>
  <si>
    <t>Maqola/izoh sifati va xato rejection o‘lchangan</t>
  </si>
  <si>
    <t>Bo‘sh, spam, juda qisqa, imlo muammosini tekshiring</t>
  </si>
  <si>
    <t>quality_stats.csv</t>
  </si>
  <si>
    <t>Exact/near dedup</t>
  </si>
  <si>
    <t>Takrorlanish ulushi o‘lchangan</t>
  </si>
  <si>
    <t>Normalizatsiya+hash+MinHash, train-val ajratish</t>
  </si>
  <si>
    <t>dedup_report.csv</t>
  </si>
  <si>
    <t>PII va secrets</t>
  </si>
  <si>
    <t>Shaxsiy / maxfiy ma’lumot bo‘yicha audit</t>
  </si>
  <si>
    <t>PII/secret scanning, review va redaction qiling</t>
  </si>
  <si>
    <t>privacy_audit.csv</t>
  </si>
  <si>
    <t>Security</t>
  </si>
  <si>
    <t>Wikisource asar huquqi</t>
  </si>
  <si>
    <t>Har kiritilgan asar huquqi tasdiqlangan</t>
  </si>
  <si>
    <t>Tarjima, original, noshir, sanalarini tekshiring</t>
  </si>
  <si>
    <t>wikisource_rights.csv</t>
  </si>
  <si>
    <t>Ingliz maqola tarjimasi</t>
  </si>
  <si>
    <t>O‘zbekcha tarjimada fakt/sana xatolari tekshirilgan</t>
  </si>
  <si>
    <t>Tarixchi tekshirgan tarjimalarni kiriting</t>
  </si>
  <si>
    <t>translation_qa.csv</t>
  </si>
  <si>
    <t>Tarixchi + lingvist</t>
  </si>
  <si>
    <t>Wikidata faktlar</t>
  </si>
  <si>
    <t>Reference, QID va qiymat kwalifikatori saqlangan</t>
  </si>
  <si>
    <t>Xronologik validatsiya, tarixiy nomlarni tekshiring</t>
  </si>
  <si>
    <t>fact_audit.csv</t>
  </si>
  <si>
    <t>Tarixchi</t>
  </si>
  <si>
    <t>Noyob token o‘lchovi</t>
  </si>
  <si>
    <t>Har manba/til/davr uchun tokenlar hisobi bor</t>
  </si>
  <si>
    <t>Tokenizer bilan real tokenlarni sanang</t>
  </si>
  <si>
    <t>token_stats.json</t>
  </si>
  <si>
    <t>Mixture tajribasi</t>
  </si>
  <si>
    <t>Ikki-uch pilot mix teng compute bilan baholangan</t>
  </si>
  <si>
    <t>60/30/0/10 va alternativalarni sinang</t>
  </si>
  <si>
    <t>pilot_results.csv</t>
  </si>
  <si>
    <t>ML engineer</t>
  </si>
  <si>
    <t>Validatsiya testi</t>
  </si>
  <si>
    <t>Mustaqil tarix savollari; contamination yo‘q</t>
  </si>
  <si>
    <t>Mustaqil Q&amp;A va tarixchi review test tayyorlang</t>
  </si>
  <si>
    <t>eval_set.jsonl</t>
  </si>
  <si>
    <t>Pretraining vs SFT</t>
  </si>
  <si>
    <t>Ma’lumot turi model bosqichiga mos</t>
  </si>
  <si>
    <t>REJADA</t>
  </si>
  <si>
    <t>Pretrain korpus / SFT savol-javob ajrating</t>
  </si>
  <si>
    <t>data_plan.yaml</t>
  </si>
  <si>
    <t>Data provenance</t>
  </si>
  <si>
    <t>Source URL→rev→doc→shard→run ID</t>
  </si>
  <si>
    <t>Barcha oraliq manifest va checksum yarating</t>
  </si>
  <si>
    <t>provenance_manifest.jsonl</t>
  </si>
  <si>
    <t>Modelning fakt aniqligi</t>
  </si>
  <si>
    <t>Sana, shaxs, manba, qarama-qarshi manbalar audit</t>
  </si>
  <si>
    <t>Timeline consistency / hallucination test</t>
  </si>
  <si>
    <t>history_eval.csv</t>
  </si>
  <si>
    <t>Training-ready shard</t>
  </si>
  <si>
    <t>Token ID/EOS/packing/dataloader test PASS</t>
  </si>
  <si>
    <t>Yakuniy shardlarni yozing, qisqa smoke test</t>
  </si>
  <si>
    <t>train_shards/</t>
  </si>
  <si>
    <t>Final GO / NO-GO</t>
  </si>
  <si>
    <t>Kritik xavflar 0; manbalar holati tasdiqlangan</t>
  </si>
  <si>
    <t>NO-GO</t>
  </si>
  <si>
    <t>Huquq+sifat+PII+provenance yakunlanmaguncha boshlamang</t>
  </si>
  <si>
    <t>release_checklist.md</t>
  </si>
  <si>
    <t>TARIXCHI TEKSHIRADIGAN BAHOLASH REJASI — MODEL SO‘ROVLARI</t>
  </si>
  <si>
    <t>Misollar test rejasiga tegishli; tarixiy javoblar modeldan hali olinmagan. Savollarni training korpusidan mustaqil tuzing.</t>
  </si>
  <si>
    <t>Sinov savoli (misol)</t>
  </si>
  <si>
    <t>Nima o‘lchanadi?</t>
  </si>
  <si>
    <t>Tekshiruv mezoni</t>
  </si>
  <si>
    <t>Dalil / keyingi ish</t>
  </si>
  <si>
    <t>O‘zbekiston davrlari</t>
  </si>
  <si>
    <t>Temuriylar davrining asosiy tarixiy voqealarini vaqt bo‘yicha tushuntiring.</t>
  </si>
  <si>
    <t>Xronologiya</t>
  </si>
  <si>
    <t>Sana va ketma-ketlikni ikki mustaqil manba bilan tekshirish.</t>
  </si>
  <si>
    <t>Tarixchi annotatsiya qilgan 100+ savol.</t>
  </si>
  <si>
    <t>Tarixiy shaxslar</t>
  </si>
  <si>
    <t>Amir Temur va Ulug‘bek faoliyatining farqini tushuntiring.</t>
  </si>
  <si>
    <t>Shaxs/role aniqligi</t>
  </si>
  <si>
    <t>Shaxs va davr aralashmasin.</t>
  </si>
  <si>
    <t>Faktlar uchun dastlabki manba.</t>
  </si>
  <si>
    <t>Jahon tarixi</t>
  </si>
  <si>
    <t>Buyuk ipak yo‘lining turli davrdagi rolini tushuntiring.</t>
  </si>
  <si>
    <t>Global qamrov</t>
  </si>
  <si>
    <t>Bir mintaqa tarafidan cheklanmasin.</t>
  </si>
  <si>
    <t>Uzbek javob; xalqaro fakt tekshiruv.</t>
  </si>
  <si>
    <t>Birlamchi manbalar</t>
  </si>
  <si>
    <t>Birlamchi va ikkilamchi tarixiy manba farqini misolda ko‘rsating.</t>
  </si>
  <si>
    <t>Manbani farqlash</t>
  </si>
  <si>
    <t>Iqtibos uydirmaslik, asl manba mavjudligi.</t>
  </si>
  <si>
    <t>Wikisource verified subset.</t>
  </si>
  <si>
    <t>Manbalardagi nizo</t>
  </si>
  <si>
    <t>Turli tarixchilar bir voqeani boshqacha baholasa nima qilasiz?</t>
  </si>
  <si>
    <t>Bir nechta qarash</t>
  </si>
  <si>
    <t>Bahsni aniq ko‘rsatish, dalilni farqlash.</t>
  </si>
  <si>
    <t>Tarixchi baholashi.</t>
  </si>
  <si>
    <t>Noaniqlik</t>
  </si>
  <si>
    <t>XVI asrdagi noma’lum shaxs haqida aniq sanani bilmasangiz nima deysiz?</t>
  </si>
  <si>
    <t>Hallucination nazorati</t>
  </si>
  <si>
    <t>Aniq bo‘lmasa “bilmayman”, manba so‘rash.</t>
  </si>
  <si>
    <t>Yolg‘on sitata testi.</t>
  </si>
  <si>
    <t>Lotin/kirill</t>
  </si>
  <si>
    <t>“Temuriylar davri” va “Темурийлар даври” savollariga javob bering.</t>
  </si>
  <si>
    <t>Til va yozuv</t>
  </si>
  <si>
    <t>Ikkala yozuvni tushunish; o‘zbekcha javob.</t>
  </si>
  <si>
    <t>Script-balanced holdout.</t>
  </si>
  <si>
    <t>Sanalar konsistensiyasi</t>
  </si>
  <si>
    <t>1394-yildagi hodisalar ketma-ketligini izohlang.</t>
  </si>
  <si>
    <t>Sana/taqvim</t>
  </si>
  <si>
    <t>Milodiy/hijriy sanalarni adashtirmaslik.</t>
  </si>
  <si>
    <t>Tarixchi bilan tekshiruv.</t>
  </si>
  <si>
    <t>RAG dalillari</t>
  </si>
  <si>
    <t>Javob uchun 2 ta tekshiriladigan manba havolasini keltiring.</t>
  </si>
  <si>
    <t>Provenance</t>
  </si>
  <si>
    <t>Haqiqiy URL va hujjat ID ko‘rsatilishi.</t>
  </si>
  <si>
    <t>RAG index/key mapping.</t>
  </si>
  <si>
    <t>Memorization</t>
  </si>
  <si>
    <t>Berilgan tarixiy matnni so‘zma-so‘z qaytarmasdan izohlang.</t>
  </si>
  <si>
    <t>Yodlash xavfi</t>
  </si>
  <si>
    <t>Uzun aynan ko‘chirilgan bo‘laklar n-gram testi.</t>
  </si>
  <si>
    <t>Extractability 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</si>
</sst>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13374D"/>
      <name val="Carlito"/>
    </font>
    <font>
      <b/>
      <sz val="11"/>
      <color rgb="FF13374D"/>
      <name val="Carlito"/>
    </font>
    <font>
      <b/>
      <sz val="17"/>
      <color rgb="FFFFFFFF"/>
      <name val="Carlito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044"/>
      </patternFill>
    </fill>
    <fill>
      <patternFill patternType="solid">
        <fgColor rgb="FFDDEFF8"/>
      </patternFill>
    </fill>
    <fill>
      <patternFill patternType="solid">
        <fgColor rgb="FF297F90"/>
      </patternFill>
    </fill>
    <fill>
      <patternFill patternType="solid">
        <fgColor rgb="FFFFF0CD"/>
      </patternFill>
    </fill>
    <fill>
      <patternFill patternType="solid">
        <fgColor rgb="FFE7F4EB"/>
      </patternFill>
    </fill>
    <fill>
      <patternFill patternType="solid">
        <fgColor rgb="FFFFFFFF"/>
      </patternFill>
    </fill>
    <fill>
      <patternFill patternType="solid">
        <fgColor rgb="FFFFF1C4"/>
      </patternFill>
    </fill>
    <fill>
      <patternFill patternType="solid">
        <fgColor rgb="FFE6F4FA"/>
      </patternFill>
    </fill>
    <fill>
      <patternFill patternType="solid">
        <fgColor rgb="FFFFE4E6"/>
      </patternFill>
    </fill>
    <fill>
      <patternFill patternType="solid">
        <fgColor rgb="FF12334C"/>
      </patternFill>
    </fill>
    <fill>
      <patternFill patternType="solid">
        <fgColor rgb="FF175A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3" fillId="3" borderId="0" xfId="1" applyFont="1" applyFill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0" fillId="7" borderId="0" xfId="1" applyFont="1" applyFill="1" applyAlignment="1">
      <alignment vertical="center" wrapText="1"/>
    </xf>
    <xf numFmtId="0" fontId="2" fillId="7" borderId="0" xfId="1" applyFont="1" applyFill="1" applyAlignment="1">
      <alignment vertical="center" wrapText="1"/>
    </xf>
    <xf numFmtId="0" fontId="0" fillId="8" borderId="0" xfId="1" applyFont="1" applyFill="1" applyAlignment="1">
      <alignment vertical="center" wrapText="1"/>
    </xf>
    <xf numFmtId="0" fontId="0" fillId="9" borderId="0" xfId="1" applyFont="1" applyFill="1" applyAlignment="1">
      <alignment vertical="center" wrapText="1"/>
    </xf>
    <xf numFmtId="0" fontId="2" fillId="9" borderId="0" xfId="1" applyFont="1" applyFill="1" applyAlignment="1">
      <alignment vertical="center" wrapText="1"/>
    </xf>
    <xf numFmtId="0" fontId="2" fillId="8" borderId="0" xfId="1" applyFont="1" applyFill="1" applyAlignment="1">
      <alignment vertical="center" wrapText="1"/>
    </xf>
    <xf numFmtId="0" fontId="2" fillId="10" borderId="0" xfId="1" applyFont="1" applyFill="1" applyAlignment="1">
      <alignment vertical="center" wrapText="1"/>
    </xf>
    <xf numFmtId="2" fontId="2" fillId="10" borderId="0" xfId="1" applyNumberFormat="1" applyFont="1" applyFill="1" applyAlignment="1">
      <alignment vertical="center" wrapText="1"/>
    </xf>
    <xf numFmtId="2" fontId="2" fillId="9" borderId="0" xfId="1" applyNumberFormat="1" applyFont="1" applyFill="1" applyAlignment="1">
      <alignment vertical="center" wrapText="1"/>
    </xf>
    <xf numFmtId="0" fontId="0" fillId="10" borderId="0" xfId="1" applyFont="1" applyFill="1" applyAlignment="1">
      <alignment vertical="center" wrapText="1"/>
    </xf>
    <xf numFmtId="3" fontId="2" fillId="5" borderId="0" xfId="1" applyNumberFormat="1" applyFont="1" applyFill="1" applyAlignment="1">
      <alignment vertical="center" wrapText="1"/>
    </xf>
    <xf numFmtId="0" fontId="1" fillId="12" borderId="0" xfId="1" applyFont="1" applyFill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2" fillId="5" borderId="0" xfId="1" applyFont="1" applyFill="1" applyAlignment="1">
      <alignment vertical="center" wrapText="1"/>
    </xf>
    <xf numFmtId="0" fontId="4" fillId="11" borderId="0" xfId="1" applyFont="1" applyFill="1" applyAlignment="1">
      <alignment vertical="center" wrapText="1"/>
    </xf>
  </cellXfs>
  <cellStyles count="2">
    <cellStyle name="Normal" xfId="1" xr:uid="{00000000-0005-0000-0000-000000000000}"/>
    <cellStyle name="Oddi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3" topLeftCell="A4" activePane="bottomLeft" state="frozen"/>
      <selection pane="bottomLeft" activeCell="E7" sqref="E7:F7"/>
    </sheetView>
  </sheetViews>
  <sheetFormatPr defaultRowHeight="15"/>
  <cols>
    <col min="1" max="1" width="7" customWidth="1"/>
    <col min="2" max="2" width="28" customWidth="1"/>
    <col min="3" max="3" width="25" customWidth="1"/>
    <col min="4" max="4" width="23" customWidth="1"/>
    <col min="5" max="5" width="51" customWidth="1"/>
    <col min="6" max="6" width="54" customWidth="1"/>
    <col min="7" max="7" width="25" customWidth="1"/>
    <col min="8" max="8" width="18" customWidth="1"/>
    <col min="9" max="9" width="28" customWidth="1"/>
    <col min="10" max="10" width="68" customWidth="1"/>
  </cols>
  <sheetData>
    <row r="1" spans="1:10" ht="33.950000000000003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3.950000000000003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36.950000000000003" customHeight="1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36.950000000000003" customHeight="1">
      <c r="A5" s="17" t="s">
        <v>2</v>
      </c>
      <c r="B5" s="17"/>
      <c r="C5" s="17"/>
      <c r="D5" s="17"/>
      <c r="E5" s="17"/>
      <c r="F5" s="17"/>
      <c r="G5" s="17"/>
      <c r="H5" s="17"/>
      <c r="I5" s="17"/>
      <c r="J5" s="17"/>
    </row>
    <row r="7" spans="1:10" ht="60.95" customHeight="1">
      <c r="A7" s="18" t="s">
        <v>3</v>
      </c>
      <c r="B7" s="18"/>
      <c r="C7" s="19"/>
      <c r="D7" s="19"/>
      <c r="E7" s="18" t="s">
        <v>4</v>
      </c>
      <c r="F7" s="18"/>
      <c r="G7" s="19"/>
      <c r="H7" s="19"/>
      <c r="I7" s="19"/>
      <c r="J7" s="19"/>
    </row>
    <row r="8" spans="1:10" ht="44.1" customHeight="1">
      <c r="B8" s="5" t="s">
        <v>5</v>
      </c>
      <c r="C8" s="5"/>
      <c r="D8" s="5"/>
      <c r="F8" s="5" t="s">
        <v>6</v>
      </c>
      <c r="G8" s="5"/>
      <c r="H8" s="5"/>
      <c r="I8" s="5"/>
      <c r="J8" s="5"/>
    </row>
    <row r="9" spans="1:10" ht="60.95" customHeight="1">
      <c r="A9" s="18" t="s">
        <v>7</v>
      </c>
      <c r="B9" s="18"/>
      <c r="C9" s="19"/>
      <c r="D9" s="19"/>
      <c r="E9" s="19"/>
      <c r="F9" s="19"/>
      <c r="G9" s="19"/>
      <c r="H9" s="19"/>
      <c r="I9" s="19"/>
      <c r="J9" s="19"/>
    </row>
    <row r="10" spans="1:10" ht="54.95" customHeight="1">
      <c r="B10" s="5" t="s">
        <v>8</v>
      </c>
      <c r="C10" s="5"/>
      <c r="D10" s="5"/>
      <c r="E10" s="5"/>
      <c r="F10" s="5"/>
      <c r="G10" s="5"/>
      <c r="H10" s="5"/>
      <c r="I10" s="5"/>
      <c r="J10" s="5"/>
    </row>
    <row r="11" spans="1:10" ht="60.95" customHeight="1">
      <c r="A11" s="18" t="s">
        <v>9</v>
      </c>
      <c r="B11" s="18"/>
      <c r="C11" s="19"/>
      <c r="D11" s="19"/>
      <c r="E11" s="19"/>
      <c r="F11" s="19"/>
      <c r="G11" s="19"/>
      <c r="H11" s="19"/>
      <c r="I11" s="19"/>
      <c r="J11" s="19"/>
    </row>
    <row r="12" spans="1:10" ht="54.95" customHeight="1">
      <c r="B12" s="5" t="s">
        <v>10</v>
      </c>
      <c r="C12" s="5"/>
      <c r="D12" s="5"/>
      <c r="E12" s="5"/>
      <c r="F12" s="5"/>
      <c r="G12" s="5"/>
      <c r="H12" s="5"/>
      <c r="I12" s="5"/>
      <c r="J12" s="5"/>
    </row>
    <row r="13" spans="1:10" ht="36.950000000000003" customHeight="1">
      <c r="A13" s="17" t="s">
        <v>11</v>
      </c>
      <c r="B13" s="17"/>
      <c r="C13" s="17"/>
      <c r="D13" s="17"/>
      <c r="E13" s="17"/>
      <c r="F13" s="17"/>
      <c r="G13" s="17"/>
      <c r="H13" s="17"/>
      <c r="I13" s="17"/>
      <c r="J13" s="17"/>
    </row>
    <row r="15" spans="1:10" ht="60" customHeight="1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20</v>
      </c>
      <c r="J15" s="1" t="s">
        <v>21</v>
      </c>
    </row>
    <row r="16" spans="1:10" ht="75.95" customHeight="1">
      <c r="A16" s="6" t="s">
        <v>22</v>
      </c>
      <c r="B16" s="7" t="s">
        <v>23</v>
      </c>
      <c r="C16" s="7" t="s">
        <v>24</v>
      </c>
      <c r="D16" s="7" t="s">
        <v>25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30</v>
      </c>
      <c r="J16" s="7" t="s">
        <v>31</v>
      </c>
    </row>
    <row r="17" spans="1:10" ht="75.95" customHeight="1">
      <c r="A17" s="3" t="s">
        <v>32</v>
      </c>
      <c r="B17" s="4" t="s">
        <v>33</v>
      </c>
      <c r="C17" s="4" t="s">
        <v>34</v>
      </c>
      <c r="D17" s="4" t="s">
        <v>25</v>
      </c>
      <c r="E17" s="4" t="s">
        <v>35</v>
      </c>
      <c r="F17" s="4" t="s">
        <v>36</v>
      </c>
      <c r="G17" s="4" t="s">
        <v>37</v>
      </c>
      <c r="H17" s="4" t="s">
        <v>29</v>
      </c>
      <c r="I17" s="4" t="s">
        <v>38</v>
      </c>
      <c r="J17" s="4" t="s">
        <v>39</v>
      </c>
    </row>
    <row r="18" spans="1:10" ht="75.95" customHeight="1">
      <c r="A18" s="6" t="s">
        <v>40</v>
      </c>
      <c r="B18" s="7" t="s">
        <v>41</v>
      </c>
      <c r="C18" s="7" t="s">
        <v>42</v>
      </c>
      <c r="D18" s="7" t="s">
        <v>43</v>
      </c>
      <c r="E18" s="7" t="s">
        <v>44</v>
      </c>
      <c r="F18" s="7" t="s">
        <v>45</v>
      </c>
      <c r="G18" s="7" t="s">
        <v>46</v>
      </c>
      <c r="H18" s="7" t="s">
        <v>29</v>
      </c>
      <c r="I18" s="7" t="s">
        <v>47</v>
      </c>
      <c r="J18" s="7" t="s">
        <v>48</v>
      </c>
    </row>
    <row r="19" spans="1:10" ht="75.95" customHeight="1">
      <c r="A19" s="3" t="s">
        <v>49</v>
      </c>
      <c r="B19" s="4" t="s">
        <v>50</v>
      </c>
      <c r="C19" s="4" t="s">
        <v>51</v>
      </c>
      <c r="D19" s="4" t="s">
        <v>52</v>
      </c>
      <c r="E19" s="4" t="s">
        <v>53</v>
      </c>
      <c r="F19" s="4" t="s">
        <v>54</v>
      </c>
      <c r="G19" s="4" t="s">
        <v>55</v>
      </c>
      <c r="H19" s="4" t="s">
        <v>29</v>
      </c>
      <c r="I19" s="4" t="s">
        <v>56</v>
      </c>
      <c r="J19" s="4" t="s">
        <v>57</v>
      </c>
    </row>
    <row r="20" spans="1:10" ht="75.95" customHeight="1">
      <c r="A20" s="6" t="s">
        <v>58</v>
      </c>
      <c r="B20" s="7" t="s">
        <v>59</v>
      </c>
      <c r="C20" s="7" t="s">
        <v>60</v>
      </c>
      <c r="D20" s="7" t="s">
        <v>61</v>
      </c>
      <c r="E20" s="7" t="s">
        <v>62</v>
      </c>
      <c r="F20" s="7" t="s">
        <v>63</v>
      </c>
      <c r="G20" s="7" t="s">
        <v>64</v>
      </c>
      <c r="H20" s="7" t="s">
        <v>29</v>
      </c>
      <c r="I20" s="7" t="s">
        <v>65</v>
      </c>
      <c r="J20" s="7" t="s">
        <v>66</v>
      </c>
    </row>
    <row r="23" spans="1:10" ht="36.950000000000003" customHeight="1">
      <c r="A23" s="16" t="s">
        <v>67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36.950000000000003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>
      <c r="A25" t="s">
        <v>68</v>
      </c>
    </row>
    <row r="26" spans="1:10">
      <c r="A26" t="s">
        <v>69</v>
      </c>
    </row>
  </sheetData>
  <mergeCells count="13">
    <mergeCell ref="A23:J24"/>
    <mergeCell ref="A9:B9"/>
    <mergeCell ref="C9:J9"/>
    <mergeCell ref="A11:B11"/>
    <mergeCell ref="C11:J11"/>
    <mergeCell ref="A13:J13"/>
    <mergeCell ref="A1:J2"/>
    <mergeCell ref="A3:J3"/>
    <mergeCell ref="A5:J5"/>
    <mergeCell ref="A7:B7"/>
    <mergeCell ref="C7:D7"/>
    <mergeCell ref="E7:F7"/>
    <mergeCell ref="G7:J7"/>
  </mergeCells>
  <dataValidations count="2">
    <dataValidation type="list" sqref="C7" xr:uid="{00000000-0002-0000-0000-000000000000}">
      <formula1>"Umumiy maqsad,Ta’lim,Dasturlash,Tibbiyot,O‘zbekcha model,Koreyscha model,Boshqa"</formula1>
    </dataValidation>
    <dataValidation type="list" sqref="I16:I20" xr:uid="{00000000-0002-0000-0000-000001000000}">
      <formula1>"Aniqlangan,Tekshirilsin,Aniqlanmagan"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pane ySplit="3" topLeftCell="A28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26" customWidth="1"/>
    <col min="4" max="4" width="48" customWidth="1"/>
    <col min="5" max="5" width="40" customWidth="1"/>
    <col min="6" max="7" width="33" customWidth="1"/>
    <col min="8" max="8" width="30" customWidth="1"/>
    <col min="9" max="9" width="37" customWidth="1"/>
    <col min="10" max="10" width="89" customWidth="1"/>
  </cols>
  <sheetData>
    <row r="1" spans="1:10" ht="33.950000000000003" customHeight="1">
      <c r="A1" s="15" t="s">
        <v>70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3.950000000000003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36.950000000000003" customHeight="1">
      <c r="A3" s="16" t="s">
        <v>71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36.950000000000003" customHeight="1">
      <c r="A5" s="17" t="s">
        <v>72</v>
      </c>
      <c r="B5" s="17"/>
      <c r="C5" s="17"/>
      <c r="D5" s="17"/>
      <c r="E5" s="17"/>
      <c r="F5" s="17"/>
      <c r="G5" s="17"/>
      <c r="H5" s="17"/>
      <c r="I5" s="17"/>
      <c r="J5" s="17"/>
    </row>
    <row r="7" spans="1:10" ht="60" customHeight="1">
      <c r="A7" s="1" t="s">
        <v>73</v>
      </c>
      <c r="B7" s="1" t="s">
        <v>74</v>
      </c>
      <c r="C7" s="1" t="s">
        <v>75</v>
      </c>
      <c r="D7" s="1" t="s">
        <v>76</v>
      </c>
      <c r="E7" s="1" t="s">
        <v>77</v>
      </c>
      <c r="F7" s="1" t="s">
        <v>78</v>
      </c>
      <c r="G7" s="1" t="s">
        <v>79</v>
      </c>
      <c r="H7" s="1" t="s">
        <v>80</v>
      </c>
      <c r="I7" s="1" t="s">
        <v>81</v>
      </c>
      <c r="J7" s="1" t="s">
        <v>82</v>
      </c>
    </row>
    <row r="8" spans="1:10" ht="74.099999999999994" customHeight="1">
      <c r="A8" s="6" t="s">
        <v>83</v>
      </c>
      <c r="B8" s="7" t="s">
        <v>84</v>
      </c>
      <c r="C8" s="7" t="s">
        <v>85</v>
      </c>
      <c r="D8" s="7" t="s">
        <v>84</v>
      </c>
      <c r="E8" s="7" t="s">
        <v>85</v>
      </c>
      <c r="F8" s="7" t="s">
        <v>85</v>
      </c>
      <c r="G8" s="7" t="s">
        <v>85</v>
      </c>
      <c r="H8" s="7" t="s">
        <v>84</v>
      </c>
      <c r="I8" s="7" t="s">
        <v>84</v>
      </c>
      <c r="J8" s="7" t="s">
        <v>86</v>
      </c>
    </row>
    <row r="9" spans="1:10" ht="74.099999999999994" customHeight="1">
      <c r="A9" s="3" t="s">
        <v>87</v>
      </c>
      <c r="B9" s="4" t="s">
        <v>84</v>
      </c>
      <c r="C9" s="4" t="s">
        <v>85</v>
      </c>
      <c r="D9" s="4" t="s">
        <v>88</v>
      </c>
      <c r="E9" s="4" t="s">
        <v>85</v>
      </c>
      <c r="F9" s="4" t="s">
        <v>84</v>
      </c>
      <c r="G9" s="4" t="s">
        <v>85</v>
      </c>
      <c r="H9" s="4" t="s">
        <v>84</v>
      </c>
      <c r="I9" s="4" t="s">
        <v>84</v>
      </c>
      <c r="J9" s="4" t="s">
        <v>89</v>
      </c>
    </row>
    <row r="10" spans="1:10" ht="74.099999999999994" customHeight="1">
      <c r="A10" s="5" t="s">
        <v>90</v>
      </c>
      <c r="B10" s="8" t="s">
        <v>84</v>
      </c>
      <c r="C10" s="8" t="s">
        <v>85</v>
      </c>
      <c r="D10" s="8" t="s">
        <v>84</v>
      </c>
      <c r="E10" s="8" t="s">
        <v>85</v>
      </c>
      <c r="F10" s="8" t="s">
        <v>84</v>
      </c>
      <c r="G10" s="8" t="s">
        <v>85</v>
      </c>
      <c r="H10" s="8" t="s">
        <v>85</v>
      </c>
      <c r="I10" s="8" t="s">
        <v>84</v>
      </c>
      <c r="J10" s="8" t="s">
        <v>91</v>
      </c>
    </row>
    <row r="11" spans="1:10" ht="74.099999999999994" customHeight="1">
      <c r="A11" s="3" t="s">
        <v>92</v>
      </c>
      <c r="B11" s="4" t="s">
        <v>84</v>
      </c>
      <c r="C11" s="4" t="s">
        <v>85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84</v>
      </c>
      <c r="J11" s="4" t="s">
        <v>93</v>
      </c>
    </row>
    <row r="12" spans="1:10" ht="74.099999999999994" customHeight="1">
      <c r="A12" s="5" t="s">
        <v>94</v>
      </c>
      <c r="B12" s="8" t="s">
        <v>85</v>
      </c>
      <c r="C12" s="8" t="s">
        <v>85</v>
      </c>
      <c r="D12" s="8" t="s">
        <v>85</v>
      </c>
      <c r="E12" s="8" t="s">
        <v>85</v>
      </c>
      <c r="F12" s="8" t="s">
        <v>85</v>
      </c>
      <c r="G12" s="8" t="s">
        <v>85</v>
      </c>
      <c r="H12" s="8" t="s">
        <v>85</v>
      </c>
      <c r="I12" s="8" t="s">
        <v>85</v>
      </c>
      <c r="J12" s="8" t="s">
        <v>95</v>
      </c>
    </row>
    <row r="15" spans="1:10" ht="36.950000000000003" customHeight="1">
      <c r="A15" s="17" t="s">
        <v>96</v>
      </c>
      <c r="B15" s="17"/>
      <c r="C15" s="17"/>
      <c r="D15" s="17"/>
      <c r="E15" s="17"/>
      <c r="F15" s="17"/>
      <c r="G15" s="17"/>
      <c r="H15" s="17"/>
      <c r="I15" s="17"/>
      <c r="J15" s="17"/>
    </row>
    <row r="17" spans="1:10" ht="60" customHeight="1">
      <c r="A17" s="1" t="s">
        <v>73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  <c r="G17" s="1" t="s">
        <v>102</v>
      </c>
      <c r="H17" s="1" t="s">
        <v>103</v>
      </c>
      <c r="I17" s="1" t="s">
        <v>104</v>
      </c>
      <c r="J17" s="1" t="s">
        <v>105</v>
      </c>
    </row>
    <row r="18" spans="1:10" ht="74.099999999999994" customHeight="1">
      <c r="A18" s="6" t="s">
        <v>83</v>
      </c>
      <c r="B18" s="7" t="s">
        <v>106</v>
      </c>
      <c r="C18" s="7" t="s">
        <v>107</v>
      </c>
      <c r="D18" s="7" t="s">
        <v>107</v>
      </c>
      <c r="E18" s="7" t="s">
        <v>107</v>
      </c>
      <c r="F18" s="7" t="s">
        <v>108</v>
      </c>
      <c r="G18" s="7" t="s">
        <v>109</v>
      </c>
      <c r="H18" s="7" t="s">
        <v>110</v>
      </c>
      <c r="I18" s="7" t="s">
        <v>110</v>
      </c>
      <c r="J18" s="7" t="s">
        <v>111</v>
      </c>
    </row>
    <row r="19" spans="1:10" ht="74.099999999999994" customHeight="1">
      <c r="A19" s="3" t="s">
        <v>87</v>
      </c>
      <c r="B19" s="4" t="s">
        <v>106</v>
      </c>
      <c r="C19" s="4" t="s">
        <v>107</v>
      </c>
      <c r="D19" s="4" t="s">
        <v>107</v>
      </c>
      <c r="E19" s="4" t="s">
        <v>107</v>
      </c>
      <c r="F19" s="4" t="s">
        <v>108</v>
      </c>
      <c r="G19" s="4" t="s">
        <v>112</v>
      </c>
      <c r="H19" s="4" t="s">
        <v>110</v>
      </c>
      <c r="I19" s="4" t="s">
        <v>110</v>
      </c>
      <c r="J19" s="4" t="s">
        <v>113</v>
      </c>
    </row>
    <row r="20" spans="1:10" ht="74.099999999999994" customHeight="1">
      <c r="A20" s="5" t="s">
        <v>90</v>
      </c>
      <c r="B20" s="8" t="s">
        <v>114</v>
      </c>
      <c r="C20" s="8" t="s">
        <v>115</v>
      </c>
      <c r="D20" s="8" t="s">
        <v>115</v>
      </c>
      <c r="E20" s="8" t="s">
        <v>115</v>
      </c>
      <c r="F20" s="8" t="s">
        <v>116</v>
      </c>
      <c r="G20" s="8" t="s">
        <v>116</v>
      </c>
      <c r="H20" s="8" t="s">
        <v>116</v>
      </c>
      <c r="I20" s="8" t="s">
        <v>116</v>
      </c>
      <c r="J20" s="8" t="s">
        <v>117</v>
      </c>
    </row>
    <row r="21" spans="1:10" ht="74.099999999999994" customHeight="1">
      <c r="A21" s="3" t="s">
        <v>92</v>
      </c>
      <c r="B21" s="4" t="s">
        <v>118</v>
      </c>
      <c r="C21" s="4" t="s">
        <v>107</v>
      </c>
      <c r="D21" s="4" t="s">
        <v>107</v>
      </c>
      <c r="E21" s="4" t="s">
        <v>107</v>
      </c>
      <c r="F21" s="4" t="s">
        <v>119</v>
      </c>
      <c r="G21" s="4" t="s">
        <v>110</v>
      </c>
      <c r="H21" s="4" t="s">
        <v>110</v>
      </c>
      <c r="I21" s="4" t="s">
        <v>110</v>
      </c>
      <c r="J21" s="4" t="s">
        <v>120</v>
      </c>
    </row>
    <row r="22" spans="1:10" ht="74.099999999999994" customHeight="1">
      <c r="A22" s="5" t="s">
        <v>94</v>
      </c>
      <c r="B22" s="8" t="s">
        <v>121</v>
      </c>
      <c r="C22" s="8" t="s">
        <v>115</v>
      </c>
      <c r="D22" s="8" t="s">
        <v>115</v>
      </c>
      <c r="E22" s="8" t="s">
        <v>115</v>
      </c>
      <c r="F22" s="8" t="s">
        <v>115</v>
      </c>
      <c r="G22" s="8" t="s">
        <v>115</v>
      </c>
      <c r="H22" s="8" t="s">
        <v>115</v>
      </c>
      <c r="I22" s="8" t="s">
        <v>115</v>
      </c>
      <c r="J22" s="8" t="s">
        <v>122</v>
      </c>
    </row>
    <row r="25" spans="1:10" ht="36.950000000000003" customHeight="1">
      <c r="A25" s="17" t="s">
        <v>123</v>
      </c>
      <c r="B25" s="17"/>
      <c r="C25" s="17"/>
      <c r="D25" s="17"/>
      <c r="E25" s="17"/>
      <c r="F25" s="17"/>
      <c r="G25" s="17"/>
      <c r="H25" s="17"/>
      <c r="I25" s="17"/>
      <c r="J25" s="17"/>
    </row>
    <row r="27" spans="1:10" ht="60" customHeight="1">
      <c r="A27" s="1" t="s">
        <v>73</v>
      </c>
      <c r="B27" s="1" t="s">
        <v>124</v>
      </c>
      <c r="C27" s="1" t="s">
        <v>125</v>
      </c>
      <c r="D27" s="1" t="s">
        <v>126</v>
      </c>
      <c r="E27" s="1" t="s">
        <v>127</v>
      </c>
      <c r="F27" s="1" t="s">
        <v>128</v>
      </c>
      <c r="G27" s="1" t="s">
        <v>129</v>
      </c>
      <c r="H27" s="1" t="s">
        <v>130</v>
      </c>
      <c r="I27" s="1" t="s">
        <v>131</v>
      </c>
      <c r="J27" s="1" t="s">
        <v>132</v>
      </c>
    </row>
    <row r="28" spans="1:10" ht="74.099999999999994" customHeight="1">
      <c r="A28" s="6" t="s">
        <v>83</v>
      </c>
      <c r="B28" s="7" t="s">
        <v>133</v>
      </c>
      <c r="C28" s="7" t="s">
        <v>134</v>
      </c>
      <c r="D28" s="7" t="s">
        <v>26</v>
      </c>
      <c r="E28" s="7" t="s">
        <v>135</v>
      </c>
      <c r="F28" s="7" t="s">
        <v>136</v>
      </c>
      <c r="G28" s="7" t="s">
        <v>137</v>
      </c>
      <c r="H28" s="7" t="s">
        <v>138</v>
      </c>
      <c r="I28" s="7" t="s">
        <v>139</v>
      </c>
      <c r="J28" s="7" t="s">
        <v>140</v>
      </c>
    </row>
    <row r="29" spans="1:10" ht="74.099999999999994" customHeight="1">
      <c r="A29" s="3" t="s">
        <v>87</v>
      </c>
      <c r="B29" s="4" t="s">
        <v>133</v>
      </c>
      <c r="C29" s="4" t="s">
        <v>134</v>
      </c>
      <c r="D29" s="4" t="s">
        <v>35</v>
      </c>
      <c r="E29" s="4" t="s">
        <v>141</v>
      </c>
      <c r="F29" s="4" t="s">
        <v>136</v>
      </c>
      <c r="G29" s="4" t="s">
        <v>142</v>
      </c>
      <c r="H29" s="4" t="s">
        <v>138</v>
      </c>
      <c r="I29" s="4" t="s">
        <v>143</v>
      </c>
      <c r="J29" s="4" t="s">
        <v>144</v>
      </c>
    </row>
    <row r="30" spans="1:10" ht="74.099999999999994" customHeight="1">
      <c r="A30" s="5" t="s">
        <v>90</v>
      </c>
      <c r="B30" s="8" t="s">
        <v>145</v>
      </c>
      <c r="C30" s="8" t="s">
        <v>43</v>
      </c>
      <c r="D30" s="8" t="s">
        <v>44</v>
      </c>
      <c r="E30" s="8" t="s">
        <v>146</v>
      </c>
      <c r="F30" s="8" t="s">
        <v>136</v>
      </c>
      <c r="G30" s="8" t="s">
        <v>147</v>
      </c>
      <c r="H30" s="8" t="s">
        <v>138</v>
      </c>
      <c r="I30" s="8" t="s">
        <v>148</v>
      </c>
      <c r="J30" s="8" t="s">
        <v>149</v>
      </c>
    </row>
    <row r="31" spans="1:10" ht="74.099999999999994" customHeight="1">
      <c r="A31" s="3" t="s">
        <v>92</v>
      </c>
      <c r="B31" s="4" t="s">
        <v>150</v>
      </c>
      <c r="C31" s="4" t="s">
        <v>151</v>
      </c>
      <c r="D31" s="4" t="s">
        <v>152</v>
      </c>
      <c r="E31" s="4" t="s">
        <v>153</v>
      </c>
      <c r="F31" s="4" t="s">
        <v>136</v>
      </c>
      <c r="G31" s="4" t="s">
        <v>154</v>
      </c>
      <c r="H31" s="4" t="s">
        <v>138</v>
      </c>
      <c r="I31" s="4" t="s">
        <v>155</v>
      </c>
      <c r="J31" s="4" t="s">
        <v>156</v>
      </c>
    </row>
    <row r="32" spans="1:10" ht="74.099999999999994" customHeight="1">
      <c r="A32" s="5" t="s">
        <v>94</v>
      </c>
      <c r="B32" s="8" t="s">
        <v>157</v>
      </c>
      <c r="C32" s="8" t="s">
        <v>158</v>
      </c>
      <c r="D32" s="8" t="s">
        <v>159</v>
      </c>
      <c r="E32" s="8" t="s">
        <v>160</v>
      </c>
      <c r="F32" s="8" t="s">
        <v>136</v>
      </c>
      <c r="G32" s="8" t="s">
        <v>161</v>
      </c>
      <c r="H32" s="8" t="s">
        <v>138</v>
      </c>
      <c r="I32" s="8" t="s">
        <v>162</v>
      </c>
      <c r="J32" s="8" t="s">
        <v>163</v>
      </c>
    </row>
    <row r="35" spans="1:10" ht="36.950000000000003" customHeight="1">
      <c r="A35" s="19" t="s">
        <v>164</v>
      </c>
      <c r="B35" s="19"/>
      <c r="C35" s="19"/>
      <c r="D35" s="19"/>
      <c r="E35" s="19"/>
      <c r="F35" s="19"/>
      <c r="G35" s="19"/>
      <c r="H35" s="19"/>
      <c r="I35" s="19"/>
      <c r="J35" s="19"/>
    </row>
    <row r="36" spans="1:10" ht="36.950000000000003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</sheetData>
  <mergeCells count="6">
    <mergeCell ref="A35:J36"/>
    <mergeCell ref="A1:J2"/>
    <mergeCell ref="A3:J3"/>
    <mergeCell ref="A5:J5"/>
    <mergeCell ref="A15:J15"/>
    <mergeCell ref="A25:J25"/>
  </mergeCells>
  <dataValidations count="3">
    <dataValidation type="list" sqref="B8:I12" xr:uid="{00000000-0002-0000-0100-000000000000}">
      <formula1>"Mos,Mos emas,Tekshirilsin"</formula1>
    </dataValidation>
    <dataValidation type="list" sqref="C18:I22" xr:uid="{00000000-0002-0000-0100-000001000000}">
      <formula1>"Ruxsat,Taqiqlangan,Noaniq,Tekshirilmagan"</formula1>
    </dataValidation>
    <dataValidation type="list" sqref="J28:J32" xr:uid="{00000000-0002-0000-0100-000002000000}">
      <formula1>"Tasdiqlangan,Tekshirilsin,Tasdiqlanmagan"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pane ySplit="3" topLeftCell="A27" activePane="bottomLeft" state="frozen"/>
      <selection pane="bottomLeft"/>
    </sheetView>
  </sheetViews>
  <sheetFormatPr defaultRowHeight="15"/>
  <cols>
    <col min="1" max="1" width="26" customWidth="1"/>
    <col min="2" max="2" width="37" customWidth="1"/>
    <col min="3" max="4" width="35" customWidth="1"/>
    <col min="5" max="5" width="32" customWidth="1"/>
    <col min="6" max="6" width="37" customWidth="1"/>
    <col min="7" max="7" width="75" customWidth="1"/>
    <col min="8" max="8" width="65" customWidth="1"/>
    <col min="9" max="9" width="23" customWidth="1"/>
    <col min="10" max="10" width="22" customWidth="1"/>
  </cols>
  <sheetData>
    <row r="1" spans="1:10" ht="33.950000000000003" customHeight="1">
      <c r="A1" s="15" t="s">
        <v>165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3.950000000000003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36.950000000000003" customHeight="1">
      <c r="A3" s="16" t="s">
        <v>166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36.950000000000003" customHeight="1">
      <c r="A5" s="17" t="s">
        <v>167</v>
      </c>
      <c r="B5" s="17"/>
      <c r="C5" s="17"/>
      <c r="D5" s="17"/>
      <c r="E5" s="17"/>
      <c r="F5" s="17"/>
      <c r="G5" s="17"/>
      <c r="H5" s="17"/>
      <c r="I5" s="17"/>
      <c r="J5" s="17"/>
    </row>
    <row r="7" spans="1:10" ht="36.950000000000003" customHeight="1">
      <c r="A7" s="18" t="s">
        <v>168</v>
      </c>
      <c r="B7" s="18"/>
      <c r="C7" s="18"/>
      <c r="D7" s="13">
        <v>20000000</v>
      </c>
      <c r="E7" s="18" t="s">
        <v>169</v>
      </c>
      <c r="F7" s="18"/>
      <c r="G7" s="2">
        <f>SUM(D11:D15)</f>
        <v>100</v>
      </c>
      <c r="H7" s="18" t="s">
        <v>170</v>
      </c>
      <c r="I7" s="18"/>
      <c r="J7" s="18"/>
    </row>
    <row r="10" spans="1:10" ht="60" customHeight="1">
      <c r="A10" s="1" t="s">
        <v>73</v>
      </c>
      <c r="B10" s="1" t="s">
        <v>14</v>
      </c>
      <c r="C10" s="1" t="s">
        <v>171</v>
      </c>
      <c r="D10" s="1" t="s">
        <v>172</v>
      </c>
      <c r="E10" s="1" t="s">
        <v>173</v>
      </c>
      <c r="F10" s="1" t="s">
        <v>174</v>
      </c>
      <c r="G10" s="1" t="s">
        <v>175</v>
      </c>
      <c r="H10" s="1" t="s">
        <v>176</v>
      </c>
    </row>
    <row r="11" spans="1:10" ht="72" customHeight="1">
      <c r="A11" s="6" t="str">
        <f>IF('1 Model va manbalar'!B16="","",'1 Model va manbalar'!B16)</f>
        <v>O‘zbekcha Vikipediya (uzwiki)</v>
      </c>
      <c r="B11" s="7" t="s">
        <v>177</v>
      </c>
      <c r="C11" s="8"/>
      <c r="D11" s="8">
        <v>60</v>
      </c>
      <c r="E11" s="7">
        <f>IF(OR(D11="",$D$7=""),"",D11/100*$D$7)</f>
        <v>12000000</v>
      </c>
      <c r="F11" s="11" t="str">
        <f>IF(OR(C11="",E11=""),"",IF(C11=0,"",E11/C11))</f>
        <v/>
      </c>
      <c r="G11" s="7" t="s">
        <v>178</v>
      </c>
      <c r="H11" s="7" t="s">
        <v>179</v>
      </c>
    </row>
    <row r="12" spans="1:10" ht="72" customHeight="1">
      <c r="A12" s="6" t="str">
        <f>IF('1 Model va manbalar'!B17="","",'1 Model va manbalar'!B17)</f>
        <v>Inglizcha Vikipediya (enwiki)</v>
      </c>
      <c r="B12" s="7" t="s">
        <v>180</v>
      </c>
      <c r="C12" s="8"/>
      <c r="D12" s="8">
        <v>30</v>
      </c>
      <c r="E12" s="7">
        <f>IF(OR(D12="",$D$7=""),"",D12/100*$D$7)</f>
        <v>6000000</v>
      </c>
      <c r="F12" s="11" t="str">
        <f>IF(OR(C12="",E12=""),"",IF(C12=0,"",E12/C12))</f>
        <v/>
      </c>
      <c r="G12" s="7" t="s">
        <v>181</v>
      </c>
      <c r="H12" s="7" t="s">
        <v>182</v>
      </c>
    </row>
    <row r="13" spans="1:10" ht="72" customHeight="1">
      <c r="A13" s="12" t="str">
        <f>IF('1 Model va manbalar'!B18="","",'1 Model va manbalar'!B18)</f>
        <v>Vikimanba: O‘zbek to‘plami</v>
      </c>
      <c r="B13" s="9" t="s">
        <v>183</v>
      </c>
      <c r="C13" s="8"/>
      <c r="D13" s="8">
        <v>0</v>
      </c>
      <c r="E13" s="9">
        <f>IF(OR(D13="",$D$7=""),"",D13/100*$D$7)</f>
        <v>0</v>
      </c>
      <c r="F13" s="10" t="str">
        <f>IF(OR(C13="",E13=""),"",IF(C13=0,"",E13/C13))</f>
        <v/>
      </c>
      <c r="G13" s="9" t="s">
        <v>184</v>
      </c>
      <c r="H13" s="9" t="s">
        <v>185</v>
      </c>
    </row>
    <row r="14" spans="1:10" ht="72" customHeight="1">
      <c r="A14" s="6" t="str">
        <f>IF('1 Model va manbalar'!B19="","",'1 Model va manbalar'!B19)</f>
        <v>Wikidata: tarixiy faktlar</v>
      </c>
      <c r="B14" s="7" t="s">
        <v>186</v>
      </c>
      <c r="C14" s="8"/>
      <c r="D14" s="8">
        <v>10</v>
      </c>
      <c r="E14" s="7">
        <f>IF(OR(D14="",$D$7=""),"",D14/100*$D$7)</f>
        <v>2000000</v>
      </c>
      <c r="F14" s="11" t="str">
        <f>IF(OR(C14="",E14=""),"",IF(C14=0,"",E14/C14))</f>
        <v/>
      </c>
      <c r="G14" s="7" t="s">
        <v>187</v>
      </c>
      <c r="H14" s="7" t="s">
        <v>188</v>
      </c>
    </row>
    <row r="15" spans="1:10" ht="72" customHeight="1">
      <c r="A15" s="12" t="str">
        <f>IF('1 Model va manbalar'!B20="","",'1 Model va manbalar'!B20)</f>
        <v>Common Crawl: uz tarix veb-sahifalar</v>
      </c>
      <c r="B15" s="9" t="s">
        <v>189</v>
      </c>
      <c r="C15" s="8"/>
      <c r="D15" s="8">
        <v>0</v>
      </c>
      <c r="E15" s="9">
        <f>IF(OR(D15="",$D$7=""),"",D15/100*$D$7)</f>
        <v>0</v>
      </c>
      <c r="F15" s="10" t="str">
        <f>IF(OR(C15="",E15=""),"",IF(C15=0,"",E15/C15))</f>
        <v/>
      </c>
      <c r="G15" s="9" t="s">
        <v>190</v>
      </c>
      <c r="H15" s="9" t="s">
        <v>185</v>
      </c>
    </row>
    <row r="17" spans="1:10" ht="36.950000000000003" customHeight="1">
      <c r="A17" s="16" t="s">
        <v>191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36.950000000000003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20" spans="1:10" ht="36.950000000000003" customHeight="1">
      <c r="A20" s="17" t="s">
        <v>192</v>
      </c>
      <c r="B20" s="17"/>
      <c r="C20" s="17"/>
      <c r="D20" s="17"/>
      <c r="E20" s="17"/>
      <c r="F20" s="17"/>
      <c r="G20" s="17"/>
      <c r="H20" s="17"/>
      <c r="I20" s="17"/>
      <c r="J20" s="17"/>
    </row>
    <row r="22" spans="1:10" ht="60" customHeight="1">
      <c r="A22" s="1" t="s">
        <v>73</v>
      </c>
      <c r="B22" s="1" t="s">
        <v>193</v>
      </c>
      <c r="C22" s="1" t="s">
        <v>194</v>
      </c>
      <c r="D22" s="1" t="s">
        <v>195</v>
      </c>
      <c r="E22" s="1" t="s">
        <v>196</v>
      </c>
      <c r="F22" s="1" t="s">
        <v>197</v>
      </c>
      <c r="G22" s="1" t="s">
        <v>198</v>
      </c>
      <c r="H22" s="1" t="s">
        <v>21</v>
      </c>
    </row>
    <row r="23" spans="1:10" ht="86.1" customHeight="1">
      <c r="A23" s="3" t="s">
        <v>83</v>
      </c>
      <c r="B23" s="4" t="s">
        <v>199</v>
      </c>
      <c r="C23" s="4" t="s">
        <v>200</v>
      </c>
      <c r="D23" s="4" t="s">
        <v>201</v>
      </c>
      <c r="E23" s="4" t="s">
        <v>202</v>
      </c>
      <c r="F23" s="4" t="s">
        <v>203</v>
      </c>
      <c r="G23" s="4" t="s">
        <v>204</v>
      </c>
      <c r="H23" s="4" t="s">
        <v>205</v>
      </c>
    </row>
    <row r="24" spans="1:10" ht="86.1" customHeight="1">
      <c r="A24" s="6" t="s">
        <v>87</v>
      </c>
      <c r="B24" s="7" t="s">
        <v>199</v>
      </c>
      <c r="C24" s="7" t="s">
        <v>206</v>
      </c>
      <c r="D24" s="7" t="s">
        <v>201</v>
      </c>
      <c r="E24" s="7" t="s">
        <v>207</v>
      </c>
      <c r="F24" s="7" t="s">
        <v>208</v>
      </c>
      <c r="G24" s="7" t="s">
        <v>204</v>
      </c>
      <c r="H24" s="7" t="s">
        <v>209</v>
      </c>
    </row>
    <row r="25" spans="1:10" ht="86.1" customHeight="1">
      <c r="A25" s="3" t="s">
        <v>90</v>
      </c>
      <c r="B25" s="4" t="s">
        <v>199</v>
      </c>
      <c r="C25" s="4" t="s">
        <v>210</v>
      </c>
      <c r="D25" s="4" t="s">
        <v>211</v>
      </c>
      <c r="E25" s="4" t="s">
        <v>212</v>
      </c>
      <c r="F25" s="4" t="s">
        <v>213</v>
      </c>
      <c r="G25" s="4" t="s">
        <v>204</v>
      </c>
      <c r="H25" s="4" t="s">
        <v>214</v>
      </c>
    </row>
    <row r="26" spans="1:10" ht="86.1" customHeight="1">
      <c r="A26" s="6" t="s">
        <v>92</v>
      </c>
      <c r="B26" s="7" t="s">
        <v>199</v>
      </c>
      <c r="C26" s="7" t="s">
        <v>215</v>
      </c>
      <c r="D26" s="7" t="s">
        <v>216</v>
      </c>
      <c r="E26" s="7" t="s">
        <v>217</v>
      </c>
      <c r="F26" s="7" t="s">
        <v>218</v>
      </c>
      <c r="G26" s="7" t="s">
        <v>204</v>
      </c>
      <c r="H26" s="7" t="s">
        <v>219</v>
      </c>
    </row>
    <row r="27" spans="1:10" ht="86.1" customHeight="1">
      <c r="A27" s="12" t="s">
        <v>94</v>
      </c>
      <c r="B27" s="9" t="s">
        <v>220</v>
      </c>
      <c r="C27" s="9" t="s">
        <v>221</v>
      </c>
      <c r="D27" s="9" t="s">
        <v>222</v>
      </c>
      <c r="E27" s="9" t="s">
        <v>223</v>
      </c>
      <c r="F27" s="9" t="s">
        <v>224</v>
      </c>
      <c r="G27" s="9" t="s">
        <v>204</v>
      </c>
      <c r="H27" s="9" t="s">
        <v>225</v>
      </c>
    </row>
    <row r="30" spans="1:10" ht="36.950000000000003" customHeight="1">
      <c r="A30" s="19" t="s">
        <v>226</v>
      </c>
      <c r="B30" s="19"/>
      <c r="C30" s="19"/>
      <c r="D30" s="19"/>
      <c r="E30" s="19"/>
      <c r="F30" s="19"/>
      <c r="G30" s="19"/>
      <c r="H30" s="19"/>
      <c r="I30" s="19"/>
      <c r="J30" s="19"/>
    </row>
    <row r="31" spans="1:10" ht="36.950000000000003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</sheetData>
  <mergeCells count="9">
    <mergeCell ref="A17:J18"/>
    <mergeCell ref="A20:J20"/>
    <mergeCell ref="A30:J31"/>
    <mergeCell ref="A1:J2"/>
    <mergeCell ref="A3:J3"/>
    <mergeCell ref="A5:J5"/>
    <mergeCell ref="A7:C7"/>
    <mergeCell ref="E7:F7"/>
    <mergeCell ref="H7:J7"/>
  </mergeCells>
  <dataValidations count="2">
    <dataValidation type="list" sqref="H11:H15" xr:uid="{00000000-0002-0000-0200-000000000000}">
      <formula1>"Mos,Mos emas,Tekshirilsin"</formula1>
    </dataValidation>
    <dataValidation type="list" sqref="B23:B27" xr:uid="{00000000-0002-0000-0200-000001000000}">
      <formula1>"FOYDALANAMAN,FOYDALANMAYMAN,QO‘SHIMCHA TEKSHIRUV"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" customWidth="1"/>
    <col min="2" max="2" width="27" customWidth="1"/>
    <col min="3" max="3" width="68" customWidth="1"/>
    <col min="4" max="4" width="95" customWidth="1"/>
    <col min="5" max="5" width="20" customWidth="1"/>
    <col min="6" max="6" width="67" customWidth="1"/>
    <col min="7" max="7" width="57" customWidth="1"/>
    <col min="8" max="8" width="26" customWidth="1"/>
  </cols>
  <sheetData>
    <row r="1" spans="1:8" ht="48" customHeight="1">
      <c r="A1" s="20" t="s">
        <v>227</v>
      </c>
      <c r="B1" s="20"/>
      <c r="C1" s="20"/>
      <c r="D1" s="20"/>
      <c r="E1" s="20"/>
      <c r="F1" s="20"/>
      <c r="G1" s="20"/>
      <c r="H1" s="20"/>
    </row>
    <row r="3" spans="1:8" ht="38.1" customHeight="1">
      <c r="A3" s="14" t="s">
        <v>12</v>
      </c>
      <c r="B3" s="14" t="s">
        <v>228</v>
      </c>
      <c r="C3" s="14" t="s">
        <v>229</v>
      </c>
      <c r="D3" s="14" t="s">
        <v>230</v>
      </c>
      <c r="E3" s="14" t="s">
        <v>231</v>
      </c>
      <c r="F3" s="14" t="s">
        <v>232</v>
      </c>
      <c r="G3" s="14" t="s">
        <v>233</v>
      </c>
      <c r="H3" s="14" t="s">
        <v>234</v>
      </c>
    </row>
    <row r="4" spans="1:8" ht="84.95" customHeight="1">
      <c r="A4" s="6" t="s">
        <v>235</v>
      </c>
      <c r="B4" s="6" t="s">
        <v>83</v>
      </c>
      <c r="C4" s="6" t="s">
        <v>236</v>
      </c>
      <c r="D4" s="6" t="s">
        <v>26</v>
      </c>
      <c r="E4" s="6" t="s">
        <v>237</v>
      </c>
      <c r="F4" s="6" t="s">
        <v>238</v>
      </c>
      <c r="G4" s="6" t="s">
        <v>239</v>
      </c>
      <c r="H4" s="6" t="s">
        <v>240</v>
      </c>
    </row>
    <row r="5" spans="1:8" ht="84.95" customHeight="1">
      <c r="A5" s="3" t="s">
        <v>241</v>
      </c>
      <c r="B5" s="3" t="s">
        <v>242</v>
      </c>
      <c r="C5" s="3" t="s">
        <v>243</v>
      </c>
      <c r="D5" s="3" t="s">
        <v>244</v>
      </c>
      <c r="E5" s="3" t="s">
        <v>237</v>
      </c>
      <c r="F5" s="3" t="s">
        <v>245</v>
      </c>
      <c r="G5" s="3" t="s">
        <v>246</v>
      </c>
      <c r="H5" s="3" t="s">
        <v>240</v>
      </c>
    </row>
    <row r="6" spans="1:8" ht="84.95" customHeight="1">
      <c r="A6" s="6" t="s">
        <v>247</v>
      </c>
      <c r="B6" s="6" t="s">
        <v>248</v>
      </c>
      <c r="C6" s="6" t="s">
        <v>249</v>
      </c>
      <c r="D6" s="6" t="s">
        <v>250</v>
      </c>
      <c r="E6" s="6" t="s">
        <v>237</v>
      </c>
      <c r="F6" s="6" t="s">
        <v>251</v>
      </c>
      <c r="G6" s="6" t="s">
        <v>252</v>
      </c>
      <c r="H6" s="6" t="s">
        <v>240</v>
      </c>
    </row>
    <row r="7" spans="1:8" ht="84.95" customHeight="1">
      <c r="A7" s="3" t="s">
        <v>253</v>
      </c>
      <c r="B7" s="3" t="s">
        <v>87</v>
      </c>
      <c r="C7" s="3" t="s">
        <v>254</v>
      </c>
      <c r="D7" s="3" t="s">
        <v>35</v>
      </c>
      <c r="E7" s="3" t="s">
        <v>237</v>
      </c>
      <c r="F7" s="3" t="s">
        <v>255</v>
      </c>
      <c r="G7" s="3" t="s">
        <v>256</v>
      </c>
      <c r="H7" s="3" t="s">
        <v>240</v>
      </c>
    </row>
    <row r="8" spans="1:8" ht="84.95" customHeight="1">
      <c r="A8" s="6" t="s">
        <v>257</v>
      </c>
      <c r="B8" s="6" t="s">
        <v>90</v>
      </c>
      <c r="C8" s="6" t="s">
        <v>258</v>
      </c>
      <c r="D8" s="6" t="s">
        <v>44</v>
      </c>
      <c r="E8" s="6" t="s">
        <v>237</v>
      </c>
      <c r="F8" s="6" t="s">
        <v>259</v>
      </c>
      <c r="G8" s="6" t="s">
        <v>260</v>
      </c>
      <c r="H8" s="6" t="s">
        <v>240</v>
      </c>
    </row>
    <row r="9" spans="1:8" ht="84.95" customHeight="1">
      <c r="A9" s="3" t="s">
        <v>261</v>
      </c>
      <c r="B9" s="3" t="s">
        <v>90</v>
      </c>
      <c r="C9" s="3" t="s">
        <v>262</v>
      </c>
      <c r="D9" s="3" t="s">
        <v>263</v>
      </c>
      <c r="E9" s="3" t="s">
        <v>237</v>
      </c>
      <c r="F9" s="3" t="s">
        <v>264</v>
      </c>
      <c r="G9" s="3" t="s">
        <v>265</v>
      </c>
      <c r="H9" s="3" t="s">
        <v>240</v>
      </c>
    </row>
    <row r="10" spans="1:8" ht="84.95" customHeight="1">
      <c r="A10" s="6" t="s">
        <v>266</v>
      </c>
      <c r="B10" s="6" t="s">
        <v>92</v>
      </c>
      <c r="C10" s="6" t="s">
        <v>267</v>
      </c>
      <c r="D10" s="6" t="s">
        <v>268</v>
      </c>
      <c r="E10" s="6" t="s">
        <v>237</v>
      </c>
      <c r="F10" s="6" t="s">
        <v>269</v>
      </c>
      <c r="G10" s="6" t="s">
        <v>270</v>
      </c>
      <c r="H10" s="6" t="s">
        <v>240</v>
      </c>
    </row>
    <row r="11" spans="1:8" ht="84.95" customHeight="1">
      <c r="A11" s="3" t="s">
        <v>271</v>
      </c>
      <c r="B11" s="3" t="s">
        <v>92</v>
      </c>
      <c r="C11" s="3" t="s">
        <v>272</v>
      </c>
      <c r="D11" s="3" t="s">
        <v>53</v>
      </c>
      <c r="E11" s="3" t="s">
        <v>237</v>
      </c>
      <c r="F11" s="3" t="s">
        <v>273</v>
      </c>
      <c r="G11" s="3" t="s">
        <v>274</v>
      </c>
      <c r="H11" s="3" t="s">
        <v>240</v>
      </c>
    </row>
    <row r="12" spans="1:8" ht="84.95" customHeight="1">
      <c r="A12" s="6" t="s">
        <v>275</v>
      </c>
      <c r="B12" s="6" t="s">
        <v>92</v>
      </c>
      <c r="C12" s="6" t="s">
        <v>276</v>
      </c>
      <c r="D12" s="6" t="s">
        <v>152</v>
      </c>
      <c r="E12" s="6" t="s">
        <v>237</v>
      </c>
      <c r="F12" s="6" t="s">
        <v>277</v>
      </c>
      <c r="G12" s="6" t="s">
        <v>278</v>
      </c>
      <c r="H12" s="6" t="s">
        <v>240</v>
      </c>
    </row>
    <row r="13" spans="1:8" ht="84.95" customHeight="1">
      <c r="A13" s="3" t="s">
        <v>279</v>
      </c>
      <c r="B13" s="3" t="s">
        <v>94</v>
      </c>
      <c r="C13" s="3" t="s">
        <v>280</v>
      </c>
      <c r="D13" s="3" t="s">
        <v>62</v>
      </c>
      <c r="E13" s="3" t="s">
        <v>237</v>
      </c>
      <c r="F13" s="3" t="s">
        <v>281</v>
      </c>
      <c r="G13" s="3" t="s">
        <v>282</v>
      </c>
      <c r="H13" s="3" t="s">
        <v>240</v>
      </c>
    </row>
    <row r="14" spans="1:8" ht="84.95" customHeight="1">
      <c r="A14" s="6" t="s">
        <v>283</v>
      </c>
      <c r="B14" s="6" t="s">
        <v>284</v>
      </c>
      <c r="C14" s="6" t="s">
        <v>285</v>
      </c>
      <c r="D14" s="6" t="s">
        <v>286</v>
      </c>
      <c r="E14" s="6" t="s">
        <v>237</v>
      </c>
      <c r="F14" s="6" t="s">
        <v>287</v>
      </c>
      <c r="G14" s="6" t="s">
        <v>288</v>
      </c>
      <c r="H14" s="6" t="s">
        <v>240</v>
      </c>
    </row>
    <row r="15" spans="1:8" ht="84.95" customHeight="1">
      <c r="A15" s="3" t="s">
        <v>289</v>
      </c>
      <c r="B15" s="3" t="s">
        <v>290</v>
      </c>
      <c r="C15" s="3" t="s">
        <v>291</v>
      </c>
      <c r="D15" s="3" t="s">
        <v>292</v>
      </c>
      <c r="E15" s="3" t="s">
        <v>29</v>
      </c>
      <c r="F15" s="3" t="s">
        <v>293</v>
      </c>
      <c r="G15" s="3" t="s">
        <v>294</v>
      </c>
      <c r="H15" s="3" t="s">
        <v>295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pane ySplit="4" topLeftCell="A22" activePane="bottomLeft" state="frozen"/>
      <selection pane="bottomLeft"/>
    </sheetView>
  </sheetViews>
  <sheetFormatPr defaultRowHeight="15"/>
  <cols>
    <col min="1" max="1" width="6" customWidth="1"/>
    <col min="2" max="2" width="32" customWidth="1"/>
    <col min="3" max="3" width="65" customWidth="1"/>
    <col min="4" max="4" width="23" customWidth="1"/>
    <col min="5" max="5" width="72" customWidth="1"/>
    <col min="6" max="6" width="38" customWidth="1"/>
    <col min="7" max="7" width="24" customWidth="1"/>
  </cols>
  <sheetData>
    <row r="1" spans="1:7" ht="48" customHeight="1">
      <c r="A1" s="20" t="s">
        <v>296</v>
      </c>
      <c r="B1" s="20"/>
      <c r="C1" s="20"/>
      <c r="D1" s="20"/>
      <c r="E1" s="20"/>
      <c r="F1" s="20"/>
      <c r="G1" s="20"/>
    </row>
    <row r="2" spans="1:7">
      <c r="A2" t="s">
        <v>297</v>
      </c>
    </row>
    <row r="4" spans="1:7" ht="38.1" customHeight="1">
      <c r="A4" s="14" t="s">
        <v>298</v>
      </c>
      <c r="B4" s="14" t="s">
        <v>299</v>
      </c>
      <c r="C4" s="14" t="s">
        <v>300</v>
      </c>
      <c r="D4" s="14" t="s">
        <v>301</v>
      </c>
      <c r="E4" s="14" t="s">
        <v>302</v>
      </c>
      <c r="F4" s="14" t="s">
        <v>303</v>
      </c>
      <c r="G4" s="14" t="s">
        <v>304</v>
      </c>
    </row>
    <row r="5" spans="1:7" ht="68.099999999999994" customHeight="1">
      <c r="A5" s="3">
        <v>1</v>
      </c>
      <c r="B5" s="3" t="s">
        <v>305</v>
      </c>
      <c r="C5" s="3" t="s">
        <v>306</v>
      </c>
      <c r="D5" s="3" t="s">
        <v>307</v>
      </c>
      <c r="E5" s="3" t="s">
        <v>308</v>
      </c>
      <c r="F5" s="3" t="s">
        <v>309</v>
      </c>
      <c r="G5" s="3" t="s">
        <v>310</v>
      </c>
    </row>
    <row r="6" spans="1:7" ht="68.099999999999994" customHeight="1">
      <c r="A6" s="6">
        <v>2</v>
      </c>
      <c r="B6" s="6" t="s">
        <v>311</v>
      </c>
      <c r="C6" s="6" t="s">
        <v>312</v>
      </c>
      <c r="D6" s="6" t="s">
        <v>313</v>
      </c>
      <c r="E6" s="6" t="s">
        <v>314</v>
      </c>
      <c r="F6" s="6" t="s">
        <v>315</v>
      </c>
      <c r="G6" s="6" t="s">
        <v>316</v>
      </c>
    </row>
    <row r="7" spans="1:7" ht="68.099999999999994" customHeight="1">
      <c r="A7" s="3">
        <v>3</v>
      </c>
      <c r="B7" s="3" t="s">
        <v>317</v>
      </c>
      <c r="C7" s="3" t="s">
        <v>318</v>
      </c>
      <c r="D7" s="3" t="s">
        <v>319</v>
      </c>
      <c r="E7" s="3" t="s">
        <v>320</v>
      </c>
      <c r="F7" s="3" t="s">
        <v>321</v>
      </c>
      <c r="G7" s="3" t="s">
        <v>322</v>
      </c>
    </row>
    <row r="8" spans="1:7" ht="68.099999999999994" customHeight="1">
      <c r="A8" s="6">
        <v>4</v>
      </c>
      <c r="B8" s="6" t="s">
        <v>323</v>
      </c>
      <c r="C8" s="6" t="s">
        <v>324</v>
      </c>
      <c r="D8" s="6" t="s">
        <v>313</v>
      </c>
      <c r="E8" s="6" t="s">
        <v>325</v>
      </c>
      <c r="F8" s="6" t="s">
        <v>326</v>
      </c>
      <c r="G8" s="6" t="s">
        <v>316</v>
      </c>
    </row>
    <row r="9" spans="1:7" ht="68.099999999999994" customHeight="1">
      <c r="A9" s="3">
        <v>5</v>
      </c>
      <c r="B9" s="3" t="s">
        <v>327</v>
      </c>
      <c r="C9" s="3" t="s">
        <v>328</v>
      </c>
      <c r="D9" s="3" t="s">
        <v>313</v>
      </c>
      <c r="E9" s="3" t="s">
        <v>329</v>
      </c>
      <c r="F9" s="3" t="s">
        <v>330</v>
      </c>
      <c r="G9" s="3" t="s">
        <v>331</v>
      </c>
    </row>
    <row r="10" spans="1:7" ht="68.099999999999994" customHeight="1">
      <c r="A10" s="6">
        <v>6</v>
      </c>
      <c r="B10" s="6" t="s">
        <v>332</v>
      </c>
      <c r="C10" s="6" t="s">
        <v>333</v>
      </c>
      <c r="D10" s="6" t="s">
        <v>313</v>
      </c>
      <c r="E10" s="6" t="s">
        <v>334</v>
      </c>
      <c r="F10" s="6" t="s">
        <v>335</v>
      </c>
      <c r="G10" s="6" t="s">
        <v>316</v>
      </c>
    </row>
    <row r="11" spans="1:7" ht="68.099999999999994" customHeight="1">
      <c r="A11" s="3">
        <v>7</v>
      </c>
      <c r="B11" s="3" t="s">
        <v>336</v>
      </c>
      <c r="C11" s="3" t="s">
        <v>337</v>
      </c>
      <c r="D11" s="3" t="s">
        <v>313</v>
      </c>
      <c r="E11" s="3" t="s">
        <v>338</v>
      </c>
      <c r="F11" s="3" t="s">
        <v>339</v>
      </c>
      <c r="G11" s="3" t="s">
        <v>331</v>
      </c>
    </row>
    <row r="12" spans="1:7" ht="68.099999999999994" customHeight="1">
      <c r="A12" s="6">
        <v>8</v>
      </c>
      <c r="B12" s="6" t="s">
        <v>340</v>
      </c>
      <c r="C12" s="6" t="s">
        <v>341</v>
      </c>
      <c r="D12" s="6" t="s">
        <v>313</v>
      </c>
      <c r="E12" s="6" t="s">
        <v>342</v>
      </c>
      <c r="F12" s="6" t="s">
        <v>343</v>
      </c>
      <c r="G12" s="6" t="s">
        <v>316</v>
      </c>
    </row>
    <row r="13" spans="1:7" ht="68.099999999999994" customHeight="1">
      <c r="A13" s="3">
        <v>9</v>
      </c>
      <c r="B13" s="3" t="s">
        <v>344</v>
      </c>
      <c r="C13" s="3" t="s">
        <v>345</v>
      </c>
      <c r="D13" s="3" t="s">
        <v>313</v>
      </c>
      <c r="E13" s="3" t="s">
        <v>346</v>
      </c>
      <c r="F13" s="3" t="s">
        <v>347</v>
      </c>
      <c r="G13" s="3" t="s">
        <v>348</v>
      </c>
    </row>
    <row r="14" spans="1:7" ht="68.099999999999994" customHeight="1">
      <c r="A14" s="6">
        <v>10</v>
      </c>
      <c r="B14" s="6" t="s">
        <v>349</v>
      </c>
      <c r="C14" s="6" t="s">
        <v>350</v>
      </c>
      <c r="D14" s="6" t="s">
        <v>313</v>
      </c>
      <c r="E14" s="6" t="s">
        <v>351</v>
      </c>
      <c r="F14" s="6" t="s">
        <v>352</v>
      </c>
      <c r="G14" s="6" t="s">
        <v>322</v>
      </c>
    </row>
    <row r="15" spans="1:7" ht="68.099999999999994" customHeight="1">
      <c r="A15" s="3">
        <v>11</v>
      </c>
      <c r="B15" s="3" t="s">
        <v>353</v>
      </c>
      <c r="C15" s="3" t="s">
        <v>354</v>
      </c>
      <c r="D15" s="3" t="s">
        <v>313</v>
      </c>
      <c r="E15" s="3" t="s">
        <v>355</v>
      </c>
      <c r="F15" s="3" t="s">
        <v>356</v>
      </c>
      <c r="G15" s="3" t="s">
        <v>357</v>
      </c>
    </row>
    <row r="16" spans="1:7" ht="68.099999999999994" customHeight="1">
      <c r="A16" s="6">
        <v>12</v>
      </c>
      <c r="B16" s="6" t="s">
        <v>358</v>
      </c>
      <c r="C16" s="6" t="s">
        <v>359</v>
      </c>
      <c r="D16" s="6" t="s">
        <v>313</v>
      </c>
      <c r="E16" s="6" t="s">
        <v>360</v>
      </c>
      <c r="F16" s="6" t="s">
        <v>361</v>
      </c>
      <c r="G16" s="6" t="s">
        <v>362</v>
      </c>
    </row>
    <row r="17" spans="1:7" ht="68.099999999999994" customHeight="1">
      <c r="A17" s="3">
        <v>13</v>
      </c>
      <c r="B17" s="3" t="s">
        <v>363</v>
      </c>
      <c r="C17" s="3" t="s">
        <v>364</v>
      </c>
      <c r="D17" s="3" t="s">
        <v>313</v>
      </c>
      <c r="E17" s="3" t="s">
        <v>365</v>
      </c>
      <c r="F17" s="3" t="s">
        <v>366</v>
      </c>
      <c r="G17" s="3" t="s">
        <v>331</v>
      </c>
    </row>
    <row r="18" spans="1:7" ht="68.099999999999994" customHeight="1">
      <c r="A18" s="6">
        <v>14</v>
      </c>
      <c r="B18" s="6" t="s">
        <v>367</v>
      </c>
      <c r="C18" s="6" t="s">
        <v>368</v>
      </c>
      <c r="D18" s="6" t="s">
        <v>313</v>
      </c>
      <c r="E18" s="6" t="s">
        <v>369</v>
      </c>
      <c r="F18" s="6" t="s">
        <v>370</v>
      </c>
      <c r="G18" s="6" t="s">
        <v>371</v>
      </c>
    </row>
    <row r="19" spans="1:7" ht="68.099999999999994" customHeight="1">
      <c r="A19" s="3">
        <v>15</v>
      </c>
      <c r="B19" s="3" t="s">
        <v>372</v>
      </c>
      <c r="C19" s="3" t="s">
        <v>373</v>
      </c>
      <c r="D19" s="3" t="s">
        <v>313</v>
      </c>
      <c r="E19" s="3" t="s">
        <v>374</v>
      </c>
      <c r="F19" s="3" t="s">
        <v>375</v>
      </c>
      <c r="G19" s="3" t="s">
        <v>362</v>
      </c>
    </row>
    <row r="20" spans="1:7" ht="68.099999999999994" customHeight="1">
      <c r="A20" s="6">
        <v>16</v>
      </c>
      <c r="B20" s="6" t="s">
        <v>376</v>
      </c>
      <c r="C20" s="6" t="s">
        <v>377</v>
      </c>
      <c r="D20" s="6" t="s">
        <v>378</v>
      </c>
      <c r="E20" s="6" t="s">
        <v>379</v>
      </c>
      <c r="F20" s="6" t="s">
        <v>380</v>
      </c>
      <c r="G20" s="6" t="s">
        <v>371</v>
      </c>
    </row>
    <row r="21" spans="1:7" ht="68.099999999999994" customHeight="1">
      <c r="A21" s="3">
        <v>17</v>
      </c>
      <c r="B21" s="3" t="s">
        <v>381</v>
      </c>
      <c r="C21" s="3" t="s">
        <v>382</v>
      </c>
      <c r="D21" s="3" t="s">
        <v>313</v>
      </c>
      <c r="E21" s="3" t="s">
        <v>383</v>
      </c>
      <c r="F21" s="3" t="s">
        <v>384</v>
      </c>
      <c r="G21" s="3" t="s">
        <v>316</v>
      </c>
    </row>
    <row r="22" spans="1:7" ht="68.099999999999994" customHeight="1">
      <c r="A22" s="6">
        <v>18</v>
      </c>
      <c r="B22" s="6" t="s">
        <v>385</v>
      </c>
      <c r="C22" s="6" t="s">
        <v>386</v>
      </c>
      <c r="D22" s="6" t="s">
        <v>313</v>
      </c>
      <c r="E22" s="6" t="s">
        <v>387</v>
      </c>
      <c r="F22" s="6" t="s">
        <v>388</v>
      </c>
      <c r="G22" s="6" t="s">
        <v>362</v>
      </c>
    </row>
    <row r="23" spans="1:7" ht="68.099999999999994" customHeight="1">
      <c r="A23" s="3">
        <v>19</v>
      </c>
      <c r="B23" s="3" t="s">
        <v>389</v>
      </c>
      <c r="C23" s="3" t="s">
        <v>390</v>
      </c>
      <c r="D23" s="3" t="s">
        <v>313</v>
      </c>
      <c r="E23" s="3" t="s">
        <v>391</v>
      </c>
      <c r="F23" s="3" t="s">
        <v>392</v>
      </c>
      <c r="G23" s="3" t="s">
        <v>371</v>
      </c>
    </row>
    <row r="24" spans="1:7" ht="68.099999999999994" customHeight="1">
      <c r="A24" s="6">
        <v>20</v>
      </c>
      <c r="B24" s="6" t="s">
        <v>393</v>
      </c>
      <c r="C24" s="6" t="s">
        <v>394</v>
      </c>
      <c r="D24" s="6" t="s">
        <v>395</v>
      </c>
      <c r="E24" s="6" t="s">
        <v>396</v>
      </c>
      <c r="F24" s="6" t="s">
        <v>397</v>
      </c>
      <c r="G24" s="6" t="s">
        <v>310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pane ySplit="4" topLeftCell="A6" activePane="bottomLeft" state="frozen"/>
      <selection pane="bottomLeft"/>
    </sheetView>
  </sheetViews>
  <sheetFormatPr defaultRowHeight="15"/>
  <cols>
    <col min="1" max="1" width="30" customWidth="1"/>
    <col min="2" max="2" width="86" customWidth="1"/>
    <col min="3" max="3" width="30" customWidth="1"/>
    <col min="4" max="4" width="75" customWidth="1"/>
    <col min="5" max="5" width="21" customWidth="1"/>
    <col min="6" max="6" width="47" customWidth="1"/>
  </cols>
  <sheetData>
    <row r="1" spans="1:6" ht="48" customHeight="1">
      <c r="A1" s="20" t="s">
        <v>398</v>
      </c>
      <c r="B1" s="20"/>
      <c r="C1" s="20"/>
      <c r="D1" s="20"/>
      <c r="E1" s="20"/>
      <c r="F1" s="20"/>
    </row>
    <row r="2" spans="1:6">
      <c r="A2" t="s">
        <v>399</v>
      </c>
    </row>
    <row r="4" spans="1:6" ht="38.1" customHeight="1">
      <c r="A4" s="14" t="s">
        <v>14</v>
      </c>
      <c r="B4" s="14" t="s">
        <v>400</v>
      </c>
      <c r="C4" s="14" t="s">
        <v>401</v>
      </c>
      <c r="D4" s="14" t="s">
        <v>402</v>
      </c>
      <c r="E4" s="14" t="s">
        <v>231</v>
      </c>
      <c r="F4" s="14" t="s">
        <v>403</v>
      </c>
    </row>
    <row r="5" spans="1:6" ht="68.099999999999994" customHeight="1">
      <c r="A5" s="3" t="s">
        <v>404</v>
      </c>
      <c r="B5" s="3" t="s">
        <v>405</v>
      </c>
      <c r="C5" s="3" t="s">
        <v>406</v>
      </c>
      <c r="D5" s="3" t="s">
        <v>407</v>
      </c>
      <c r="E5" s="3" t="s">
        <v>29</v>
      </c>
      <c r="F5" s="3" t="s">
        <v>408</v>
      </c>
    </row>
    <row r="6" spans="1:6" ht="68.099999999999994" customHeight="1">
      <c r="A6" s="6" t="s">
        <v>409</v>
      </c>
      <c r="B6" s="6" t="s">
        <v>410</v>
      </c>
      <c r="C6" s="6" t="s">
        <v>411</v>
      </c>
      <c r="D6" s="6" t="s">
        <v>412</v>
      </c>
      <c r="E6" s="6" t="s">
        <v>29</v>
      </c>
      <c r="F6" s="6" t="s">
        <v>413</v>
      </c>
    </row>
    <row r="7" spans="1:6" ht="68.099999999999994" customHeight="1">
      <c r="A7" s="3" t="s">
        <v>414</v>
      </c>
      <c r="B7" s="3" t="s">
        <v>415</v>
      </c>
      <c r="C7" s="3" t="s">
        <v>416</v>
      </c>
      <c r="D7" s="3" t="s">
        <v>417</v>
      </c>
      <c r="E7" s="3" t="s">
        <v>29</v>
      </c>
      <c r="F7" s="3" t="s">
        <v>418</v>
      </c>
    </row>
    <row r="8" spans="1:6" ht="68.099999999999994" customHeight="1">
      <c r="A8" s="6" t="s">
        <v>419</v>
      </c>
      <c r="B8" s="6" t="s">
        <v>420</v>
      </c>
      <c r="C8" s="6" t="s">
        <v>421</v>
      </c>
      <c r="D8" s="6" t="s">
        <v>422</v>
      </c>
      <c r="E8" s="6" t="s">
        <v>29</v>
      </c>
      <c r="F8" s="6" t="s">
        <v>423</v>
      </c>
    </row>
    <row r="9" spans="1:6" ht="68.099999999999994" customHeight="1">
      <c r="A9" s="3" t="s">
        <v>424</v>
      </c>
      <c r="B9" s="3" t="s">
        <v>425</v>
      </c>
      <c r="C9" s="3" t="s">
        <v>426</v>
      </c>
      <c r="D9" s="3" t="s">
        <v>427</v>
      </c>
      <c r="E9" s="3" t="s">
        <v>29</v>
      </c>
      <c r="F9" s="3" t="s">
        <v>428</v>
      </c>
    </row>
    <row r="10" spans="1:6" ht="68.099999999999994" customHeight="1">
      <c r="A10" s="6" t="s">
        <v>429</v>
      </c>
      <c r="B10" s="6" t="s">
        <v>430</v>
      </c>
      <c r="C10" s="6" t="s">
        <v>431</v>
      </c>
      <c r="D10" s="6" t="s">
        <v>432</v>
      </c>
      <c r="E10" s="6" t="s">
        <v>29</v>
      </c>
      <c r="F10" s="6" t="s">
        <v>433</v>
      </c>
    </row>
    <row r="11" spans="1:6" ht="68.099999999999994" customHeight="1">
      <c r="A11" s="3" t="s">
        <v>434</v>
      </c>
      <c r="B11" s="3" t="s">
        <v>435</v>
      </c>
      <c r="C11" s="3" t="s">
        <v>436</v>
      </c>
      <c r="D11" s="3" t="s">
        <v>437</v>
      </c>
      <c r="E11" s="3" t="s">
        <v>29</v>
      </c>
      <c r="F11" s="3" t="s">
        <v>438</v>
      </c>
    </row>
    <row r="12" spans="1:6" ht="68.099999999999994" customHeight="1">
      <c r="A12" s="6" t="s">
        <v>439</v>
      </c>
      <c r="B12" s="6" t="s">
        <v>440</v>
      </c>
      <c r="C12" s="6" t="s">
        <v>441</v>
      </c>
      <c r="D12" s="6" t="s">
        <v>442</v>
      </c>
      <c r="E12" s="6" t="s">
        <v>29</v>
      </c>
      <c r="F12" s="6" t="s">
        <v>443</v>
      </c>
    </row>
    <row r="13" spans="1:6" ht="68.099999999999994" customHeight="1">
      <c r="A13" s="3" t="s">
        <v>444</v>
      </c>
      <c r="B13" s="3" t="s">
        <v>445</v>
      </c>
      <c r="C13" s="3" t="s">
        <v>446</v>
      </c>
      <c r="D13" s="3" t="s">
        <v>447</v>
      </c>
      <c r="E13" s="3" t="s">
        <v>29</v>
      </c>
      <c r="F13" s="3" t="s">
        <v>448</v>
      </c>
    </row>
    <row r="14" spans="1:6" ht="68.099999999999994" customHeight="1">
      <c r="A14" s="6" t="s">
        <v>449</v>
      </c>
      <c r="B14" s="6" t="s">
        <v>450</v>
      </c>
      <c r="C14" s="6" t="s">
        <v>451</v>
      </c>
      <c r="D14" s="6" t="s">
        <v>452</v>
      </c>
      <c r="E14" s="6" t="s">
        <v>29</v>
      </c>
      <c r="F14" s="6" t="s">
        <v>453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2026-10-20T10:38:46Z</dcterms:created>
  <dcterms:modified xsi:type="dcterms:W3CDTF">2026-10-20T10:38:46Z</dcterms:modified>
  <cp:category/>
  <cp:contentStatus/>
</cp:coreProperties>
</file>